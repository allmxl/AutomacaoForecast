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Q:\ForecastArquivados\"/>
    </mc:Choice>
  </mc:AlternateContent>
  <xr:revisionPtr revIDLastSave="0" documentId="13_ncr:1_{613087B7-5794-4DCD-9EE8-1E2545C37AB7}" xr6:coauthVersionLast="47" xr6:coauthVersionMax="47" xr10:uidLastSave="{00000000-0000-0000-0000-000000000000}"/>
  <bookViews>
    <workbookView xWindow="-110" yWindow="-110" windowWidth="19420" windowHeight="10300" xr2:uid="{428F8B42-673C-487F-834F-FCC8C7F207DA}"/>
  </bookViews>
  <sheets>
    <sheet name="Planilha1" sheetId="1" r:id="rId1"/>
  </sheets>
  <definedNames>
    <definedName name="_xlnm._FilterDatabase" localSheetId="0" hidden="1">Planilha1!$B$4:$H$236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36" i="1" l="1"/>
  <c r="BJ236" i="1"/>
  <c r="BI236" i="1"/>
  <c r="BH236" i="1"/>
  <c r="BG236" i="1"/>
  <c r="BF236" i="1"/>
  <c r="BE236" i="1"/>
  <c r="BD236" i="1"/>
  <c r="BC236" i="1"/>
  <c r="BB236" i="1"/>
  <c r="BA236" i="1"/>
  <c r="AZ236" i="1"/>
  <c r="AX236" i="1"/>
  <c r="AW236" i="1"/>
  <c r="AV236" i="1"/>
  <c r="AU236" i="1"/>
  <c r="AT236" i="1"/>
  <c r="AG236" i="1"/>
  <c r="AA236" i="1"/>
  <c r="N236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G235" i="1"/>
  <c r="AA235" i="1"/>
  <c r="N235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G234" i="1"/>
  <c r="AA234" i="1"/>
  <c r="N234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G233" i="1"/>
  <c r="AA233" i="1"/>
  <c r="N233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X232" i="1"/>
  <c r="AW232" i="1"/>
  <c r="AV232" i="1"/>
  <c r="AU232" i="1"/>
  <c r="AT232" i="1"/>
  <c r="BL232" i="1" s="1"/>
  <c r="AG232" i="1"/>
  <c r="AY232" i="1" s="1"/>
  <c r="AA232" i="1"/>
  <c r="N232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X231" i="1"/>
  <c r="AW231" i="1"/>
  <c r="AV231" i="1"/>
  <c r="AU231" i="1"/>
  <c r="AT231" i="1"/>
  <c r="AG231" i="1"/>
  <c r="AA231" i="1"/>
  <c r="N231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X230" i="1"/>
  <c r="AW230" i="1"/>
  <c r="AV230" i="1"/>
  <c r="AU230" i="1"/>
  <c r="AT230" i="1"/>
  <c r="BL230" i="1" s="1"/>
  <c r="AG230" i="1"/>
  <c r="AA230" i="1"/>
  <c r="N230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X229" i="1"/>
  <c r="AW229" i="1"/>
  <c r="AV229" i="1"/>
  <c r="AU229" i="1"/>
  <c r="AT229" i="1"/>
  <c r="BL229" i="1" s="1"/>
  <c r="AG229" i="1"/>
  <c r="AY229" i="1" s="1"/>
  <c r="AA229" i="1"/>
  <c r="N229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X228" i="1"/>
  <c r="AW228" i="1"/>
  <c r="AV228" i="1"/>
  <c r="AU228" i="1"/>
  <c r="AT228" i="1"/>
  <c r="AG228" i="1"/>
  <c r="AA228" i="1"/>
  <c r="BL228" i="1" s="1"/>
  <c r="N228" i="1"/>
  <c r="AY228" i="1" s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G227" i="1"/>
  <c r="AA227" i="1"/>
  <c r="N227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G226" i="1"/>
  <c r="AA226" i="1"/>
  <c r="N226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X225" i="1"/>
  <c r="AW225" i="1"/>
  <c r="AV225" i="1"/>
  <c r="AU225" i="1"/>
  <c r="AT225" i="1"/>
  <c r="BL225" i="1" s="1"/>
  <c r="AG225" i="1"/>
  <c r="AA225" i="1"/>
  <c r="N225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X224" i="1"/>
  <c r="AW224" i="1"/>
  <c r="AV224" i="1"/>
  <c r="AU224" i="1"/>
  <c r="AT224" i="1"/>
  <c r="AG224" i="1"/>
  <c r="AA224" i="1"/>
  <c r="N224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X223" i="1"/>
  <c r="AW223" i="1"/>
  <c r="AV223" i="1"/>
  <c r="AU223" i="1"/>
  <c r="AT223" i="1"/>
  <c r="BL223" i="1" s="1"/>
  <c r="AG223" i="1"/>
  <c r="AY223" i="1" s="1"/>
  <c r="AA223" i="1"/>
  <c r="N223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G222" i="1"/>
  <c r="AA222" i="1"/>
  <c r="N222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G221" i="1"/>
  <c r="AA221" i="1"/>
  <c r="N221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G220" i="1"/>
  <c r="AA220" i="1"/>
  <c r="N220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X219" i="1"/>
  <c r="AW219" i="1"/>
  <c r="AV219" i="1"/>
  <c r="AU219" i="1"/>
  <c r="AT219" i="1"/>
  <c r="BL219" i="1" s="1"/>
  <c r="AG219" i="1"/>
  <c r="AA219" i="1"/>
  <c r="N219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X218" i="1"/>
  <c r="AW218" i="1"/>
  <c r="AV218" i="1"/>
  <c r="AU218" i="1"/>
  <c r="AT218" i="1"/>
  <c r="AG218" i="1"/>
  <c r="AA218" i="1"/>
  <c r="N218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G217" i="1"/>
  <c r="AA217" i="1"/>
  <c r="N217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G216" i="1"/>
  <c r="AA216" i="1"/>
  <c r="N216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G215" i="1"/>
  <c r="AA215" i="1"/>
  <c r="N215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X214" i="1"/>
  <c r="AW214" i="1"/>
  <c r="AV214" i="1"/>
  <c r="AU214" i="1"/>
  <c r="AT214" i="1"/>
  <c r="BL214" i="1" s="1"/>
  <c r="AG214" i="1"/>
  <c r="AY214" i="1" s="1"/>
  <c r="AA214" i="1"/>
  <c r="N214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X213" i="1"/>
  <c r="AW213" i="1"/>
  <c r="AV213" i="1"/>
  <c r="AU213" i="1"/>
  <c r="AT213" i="1"/>
  <c r="AG213" i="1"/>
  <c r="AA213" i="1"/>
  <c r="N213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X212" i="1"/>
  <c r="AW212" i="1"/>
  <c r="AV212" i="1"/>
  <c r="AU212" i="1"/>
  <c r="AT212" i="1"/>
  <c r="BL212" i="1" s="1"/>
  <c r="AG212" i="1"/>
  <c r="AA212" i="1"/>
  <c r="N212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X211" i="1"/>
  <c r="AW211" i="1"/>
  <c r="AV211" i="1"/>
  <c r="AU211" i="1"/>
  <c r="AT211" i="1"/>
  <c r="BL211" i="1" s="1"/>
  <c r="AG211" i="1"/>
  <c r="AY211" i="1" s="1"/>
  <c r="AA211" i="1"/>
  <c r="N211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X210" i="1"/>
  <c r="AW210" i="1"/>
  <c r="AV210" i="1"/>
  <c r="AU210" i="1"/>
  <c r="AT210" i="1"/>
  <c r="AG210" i="1"/>
  <c r="AA210" i="1"/>
  <c r="BL210" i="1" s="1"/>
  <c r="N210" i="1"/>
  <c r="AY210" i="1" s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G209" i="1"/>
  <c r="AA209" i="1"/>
  <c r="N209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G208" i="1"/>
  <c r="AA208" i="1"/>
  <c r="N208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X207" i="1"/>
  <c r="AW207" i="1"/>
  <c r="AV207" i="1"/>
  <c r="AU207" i="1"/>
  <c r="AT207" i="1"/>
  <c r="BL207" i="1" s="1"/>
  <c r="AG207" i="1"/>
  <c r="AA207" i="1"/>
  <c r="N207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X206" i="1"/>
  <c r="AW206" i="1"/>
  <c r="AV206" i="1"/>
  <c r="AU206" i="1"/>
  <c r="AT206" i="1"/>
  <c r="AG206" i="1"/>
  <c r="AA206" i="1"/>
  <c r="N206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X205" i="1"/>
  <c r="AW205" i="1"/>
  <c r="AV205" i="1"/>
  <c r="AU205" i="1"/>
  <c r="AT205" i="1"/>
  <c r="AG205" i="1"/>
  <c r="AA205" i="1"/>
  <c r="N205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G204" i="1"/>
  <c r="AA204" i="1"/>
  <c r="N204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G203" i="1"/>
  <c r="AA203" i="1"/>
  <c r="N203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G202" i="1"/>
  <c r="AA202" i="1"/>
  <c r="N202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X201" i="1"/>
  <c r="AW201" i="1"/>
  <c r="AV201" i="1"/>
  <c r="AU201" i="1"/>
  <c r="AT201" i="1"/>
  <c r="AG201" i="1"/>
  <c r="AA201" i="1"/>
  <c r="N201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X200" i="1"/>
  <c r="AW200" i="1"/>
  <c r="AV200" i="1"/>
  <c r="AU200" i="1"/>
  <c r="AT200" i="1"/>
  <c r="AG200" i="1"/>
  <c r="AA200" i="1"/>
  <c r="N200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G199" i="1"/>
  <c r="AA199" i="1"/>
  <c r="N199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G198" i="1"/>
  <c r="AA198" i="1"/>
  <c r="N198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G197" i="1"/>
  <c r="AA197" i="1"/>
  <c r="N197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X196" i="1"/>
  <c r="AW196" i="1"/>
  <c r="AV196" i="1"/>
  <c r="AU196" i="1"/>
  <c r="AT196" i="1"/>
  <c r="BL196" i="1" s="1"/>
  <c r="AG196" i="1"/>
  <c r="AY196" i="1" s="1"/>
  <c r="AA196" i="1"/>
  <c r="N196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X195" i="1"/>
  <c r="AW195" i="1"/>
  <c r="AV195" i="1"/>
  <c r="AU195" i="1"/>
  <c r="AT195" i="1"/>
  <c r="AG195" i="1"/>
  <c r="AA195" i="1"/>
  <c r="N195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X194" i="1"/>
  <c r="AW194" i="1"/>
  <c r="AV194" i="1"/>
  <c r="AU194" i="1"/>
  <c r="AT194" i="1"/>
  <c r="BL194" i="1" s="1"/>
  <c r="AG194" i="1"/>
  <c r="AA194" i="1"/>
  <c r="N194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X193" i="1"/>
  <c r="AW193" i="1"/>
  <c r="AV193" i="1"/>
  <c r="AU193" i="1"/>
  <c r="AT193" i="1"/>
  <c r="BL193" i="1" s="1"/>
  <c r="AG193" i="1"/>
  <c r="AY193" i="1" s="1"/>
  <c r="AA193" i="1"/>
  <c r="N193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X192" i="1"/>
  <c r="AW192" i="1"/>
  <c r="AV192" i="1"/>
  <c r="AU192" i="1"/>
  <c r="AT192" i="1"/>
  <c r="AG192" i="1"/>
  <c r="AA192" i="1"/>
  <c r="BL192" i="1" s="1"/>
  <c r="N192" i="1"/>
  <c r="AY192" i="1" s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G191" i="1"/>
  <c r="AA191" i="1"/>
  <c r="N191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G190" i="1"/>
  <c r="AA190" i="1"/>
  <c r="N190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X189" i="1"/>
  <c r="AW189" i="1"/>
  <c r="AV189" i="1"/>
  <c r="AU189" i="1"/>
  <c r="AT189" i="1"/>
  <c r="BL189" i="1" s="1"/>
  <c r="AG189" i="1"/>
  <c r="AA189" i="1"/>
  <c r="N189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X188" i="1"/>
  <c r="AW188" i="1"/>
  <c r="AV188" i="1"/>
  <c r="AU188" i="1"/>
  <c r="AT188" i="1"/>
  <c r="BL188" i="1" s="1"/>
  <c r="AG188" i="1"/>
  <c r="AY188" i="1" s="1"/>
  <c r="AA188" i="1"/>
  <c r="N188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X187" i="1"/>
  <c r="AW187" i="1"/>
  <c r="AV187" i="1"/>
  <c r="AU187" i="1"/>
  <c r="AT187" i="1"/>
  <c r="AG187" i="1"/>
  <c r="AA187" i="1"/>
  <c r="N187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G186" i="1"/>
  <c r="AA186" i="1"/>
  <c r="N186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G185" i="1"/>
  <c r="AA185" i="1"/>
  <c r="N185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G184" i="1"/>
  <c r="AA184" i="1"/>
  <c r="N184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X183" i="1"/>
  <c r="AW183" i="1"/>
  <c r="AV183" i="1"/>
  <c r="AU183" i="1"/>
  <c r="AT183" i="1"/>
  <c r="AG183" i="1"/>
  <c r="AA183" i="1"/>
  <c r="N183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X182" i="1"/>
  <c r="AW182" i="1"/>
  <c r="AV182" i="1"/>
  <c r="AU182" i="1"/>
  <c r="AT182" i="1"/>
  <c r="AG182" i="1"/>
  <c r="AA182" i="1"/>
  <c r="N182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G181" i="1"/>
  <c r="AA181" i="1"/>
  <c r="N181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G180" i="1"/>
  <c r="AA180" i="1"/>
  <c r="N180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G179" i="1"/>
  <c r="AA179" i="1"/>
  <c r="N179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X178" i="1"/>
  <c r="AW178" i="1"/>
  <c r="AV178" i="1"/>
  <c r="AU178" i="1"/>
  <c r="AT178" i="1"/>
  <c r="BL178" i="1" s="1"/>
  <c r="AG178" i="1"/>
  <c r="AY178" i="1" s="1"/>
  <c r="AA178" i="1"/>
  <c r="N178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X177" i="1"/>
  <c r="AW177" i="1"/>
  <c r="AV177" i="1"/>
  <c r="AU177" i="1"/>
  <c r="AT177" i="1"/>
  <c r="AG177" i="1"/>
  <c r="AA177" i="1"/>
  <c r="N177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X176" i="1"/>
  <c r="AW176" i="1"/>
  <c r="AV176" i="1"/>
  <c r="AU176" i="1"/>
  <c r="AT176" i="1"/>
  <c r="BL176" i="1" s="1"/>
  <c r="AG176" i="1"/>
  <c r="AA176" i="1"/>
  <c r="N176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X175" i="1"/>
  <c r="AW175" i="1"/>
  <c r="AV175" i="1"/>
  <c r="AU175" i="1"/>
  <c r="AT175" i="1"/>
  <c r="BL175" i="1" s="1"/>
  <c r="AG175" i="1"/>
  <c r="AY175" i="1" s="1"/>
  <c r="AA175" i="1"/>
  <c r="N175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X174" i="1"/>
  <c r="AW174" i="1"/>
  <c r="AV174" i="1"/>
  <c r="AU174" i="1"/>
  <c r="AT174" i="1"/>
  <c r="AG174" i="1"/>
  <c r="AA174" i="1"/>
  <c r="BL174" i="1" s="1"/>
  <c r="N174" i="1"/>
  <c r="AY174" i="1" s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G173" i="1"/>
  <c r="AA173" i="1"/>
  <c r="N173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G172" i="1"/>
  <c r="AA172" i="1"/>
  <c r="N172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X171" i="1"/>
  <c r="AW171" i="1"/>
  <c r="AV171" i="1"/>
  <c r="AU171" i="1"/>
  <c r="AT171" i="1"/>
  <c r="BL171" i="1" s="1"/>
  <c r="AG171" i="1"/>
  <c r="AA171" i="1"/>
  <c r="N171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X170" i="1"/>
  <c r="AW170" i="1"/>
  <c r="AV170" i="1"/>
  <c r="AU170" i="1"/>
  <c r="AT170" i="1"/>
  <c r="AG170" i="1"/>
  <c r="AA170" i="1"/>
  <c r="N170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X169" i="1"/>
  <c r="AW169" i="1"/>
  <c r="AV169" i="1"/>
  <c r="AU169" i="1"/>
  <c r="AT169" i="1"/>
  <c r="BL169" i="1" s="1"/>
  <c r="AG169" i="1"/>
  <c r="AY169" i="1" s="1"/>
  <c r="AA169" i="1"/>
  <c r="N169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G168" i="1"/>
  <c r="AA168" i="1"/>
  <c r="N168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G167" i="1"/>
  <c r="AA167" i="1"/>
  <c r="N167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G166" i="1"/>
  <c r="AA166" i="1"/>
  <c r="N166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X165" i="1"/>
  <c r="AW165" i="1"/>
  <c r="AV165" i="1"/>
  <c r="AU165" i="1"/>
  <c r="AT165" i="1"/>
  <c r="BL165" i="1" s="1"/>
  <c r="AG165" i="1"/>
  <c r="AA165" i="1"/>
  <c r="N165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X164" i="1"/>
  <c r="AW164" i="1"/>
  <c r="AV164" i="1"/>
  <c r="AU164" i="1"/>
  <c r="AT164" i="1"/>
  <c r="AG164" i="1"/>
  <c r="AA164" i="1"/>
  <c r="N164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G163" i="1"/>
  <c r="AA163" i="1"/>
  <c r="N163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G162" i="1"/>
  <c r="AA162" i="1"/>
  <c r="N162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G161" i="1"/>
  <c r="AA161" i="1"/>
  <c r="N161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X160" i="1"/>
  <c r="AW160" i="1"/>
  <c r="AV160" i="1"/>
  <c r="AU160" i="1"/>
  <c r="AT160" i="1"/>
  <c r="BL160" i="1" s="1"/>
  <c r="AG160" i="1"/>
  <c r="AY160" i="1" s="1"/>
  <c r="AA160" i="1"/>
  <c r="N160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X159" i="1"/>
  <c r="AW159" i="1"/>
  <c r="AV159" i="1"/>
  <c r="AU159" i="1"/>
  <c r="AT159" i="1"/>
  <c r="AG159" i="1"/>
  <c r="AA159" i="1"/>
  <c r="N159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X158" i="1"/>
  <c r="AW158" i="1"/>
  <c r="AV158" i="1"/>
  <c r="AU158" i="1"/>
  <c r="AT158" i="1"/>
  <c r="BL158" i="1" s="1"/>
  <c r="AG158" i="1"/>
  <c r="AA158" i="1"/>
  <c r="N158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X157" i="1"/>
  <c r="AW157" i="1"/>
  <c r="AV157" i="1"/>
  <c r="AU157" i="1"/>
  <c r="AT157" i="1"/>
  <c r="BL157" i="1" s="1"/>
  <c r="AG157" i="1"/>
  <c r="AY157" i="1" s="1"/>
  <c r="AA157" i="1"/>
  <c r="N157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X156" i="1"/>
  <c r="AW156" i="1"/>
  <c r="AV156" i="1"/>
  <c r="AU156" i="1"/>
  <c r="AT156" i="1"/>
  <c r="AG156" i="1"/>
  <c r="AA156" i="1"/>
  <c r="BL156" i="1" s="1"/>
  <c r="N156" i="1"/>
  <c r="AY156" i="1" s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G155" i="1"/>
  <c r="AA155" i="1"/>
  <c r="N155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G154" i="1"/>
  <c r="AA154" i="1"/>
  <c r="N154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X153" i="1"/>
  <c r="AW153" i="1"/>
  <c r="AV153" i="1"/>
  <c r="AU153" i="1"/>
  <c r="AT153" i="1"/>
  <c r="BL153" i="1" s="1"/>
  <c r="AG153" i="1"/>
  <c r="AA153" i="1"/>
  <c r="N153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X152" i="1"/>
  <c r="AW152" i="1"/>
  <c r="AV152" i="1"/>
  <c r="AU152" i="1"/>
  <c r="AT152" i="1"/>
  <c r="AG152" i="1"/>
  <c r="AA152" i="1"/>
  <c r="N152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X151" i="1"/>
  <c r="AW151" i="1"/>
  <c r="AV151" i="1"/>
  <c r="AU151" i="1"/>
  <c r="AT151" i="1"/>
  <c r="AG151" i="1"/>
  <c r="AA151" i="1"/>
  <c r="N151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G150" i="1"/>
  <c r="AA150" i="1"/>
  <c r="N150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G149" i="1"/>
  <c r="AA149" i="1"/>
  <c r="N149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G148" i="1"/>
  <c r="AA148" i="1"/>
  <c r="N148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X147" i="1"/>
  <c r="AW147" i="1"/>
  <c r="AV147" i="1"/>
  <c r="AU147" i="1"/>
  <c r="AT147" i="1"/>
  <c r="AG147" i="1"/>
  <c r="AA147" i="1"/>
  <c r="N147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X146" i="1"/>
  <c r="AW146" i="1"/>
  <c r="AV146" i="1"/>
  <c r="AU146" i="1"/>
  <c r="AT146" i="1"/>
  <c r="AG146" i="1"/>
  <c r="AA146" i="1"/>
  <c r="N146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G145" i="1"/>
  <c r="AA145" i="1"/>
  <c r="N145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G144" i="1"/>
  <c r="AA144" i="1"/>
  <c r="N144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G143" i="1"/>
  <c r="AA143" i="1"/>
  <c r="N143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X142" i="1"/>
  <c r="AW142" i="1"/>
  <c r="AV142" i="1"/>
  <c r="AU142" i="1"/>
  <c r="AT142" i="1"/>
  <c r="BL142" i="1" s="1"/>
  <c r="AG142" i="1"/>
  <c r="AY142" i="1" s="1"/>
  <c r="AA142" i="1"/>
  <c r="N142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X141" i="1"/>
  <c r="AW141" i="1"/>
  <c r="AV141" i="1"/>
  <c r="AU141" i="1"/>
  <c r="AT141" i="1"/>
  <c r="AG141" i="1"/>
  <c r="AA141" i="1"/>
  <c r="N141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X140" i="1"/>
  <c r="AW140" i="1"/>
  <c r="AV140" i="1"/>
  <c r="AU140" i="1"/>
  <c r="AT140" i="1"/>
  <c r="BL140" i="1" s="1"/>
  <c r="AG140" i="1"/>
  <c r="AA140" i="1"/>
  <c r="N140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X139" i="1"/>
  <c r="AW139" i="1"/>
  <c r="AV139" i="1"/>
  <c r="AU139" i="1"/>
  <c r="AT139" i="1"/>
  <c r="BL139" i="1" s="1"/>
  <c r="AG139" i="1"/>
  <c r="AY139" i="1" s="1"/>
  <c r="AA139" i="1"/>
  <c r="N139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X138" i="1"/>
  <c r="AW138" i="1"/>
  <c r="AV138" i="1"/>
  <c r="AU138" i="1"/>
  <c r="AT138" i="1"/>
  <c r="AG138" i="1"/>
  <c r="AA138" i="1"/>
  <c r="BL138" i="1" s="1"/>
  <c r="N138" i="1"/>
  <c r="AY138" i="1" s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G137" i="1"/>
  <c r="AA137" i="1"/>
  <c r="N137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G136" i="1"/>
  <c r="AA136" i="1"/>
  <c r="N136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X135" i="1"/>
  <c r="AW135" i="1"/>
  <c r="AV135" i="1"/>
  <c r="AU135" i="1"/>
  <c r="AT135" i="1"/>
  <c r="BL135" i="1" s="1"/>
  <c r="AG135" i="1"/>
  <c r="AA135" i="1"/>
  <c r="N135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X134" i="1"/>
  <c r="AW134" i="1"/>
  <c r="AV134" i="1"/>
  <c r="AU134" i="1"/>
  <c r="AT134" i="1"/>
  <c r="BL134" i="1" s="1"/>
  <c r="AG134" i="1"/>
  <c r="AY134" i="1" s="1"/>
  <c r="AA134" i="1"/>
  <c r="N134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X133" i="1"/>
  <c r="AW133" i="1"/>
  <c r="AV133" i="1"/>
  <c r="AU133" i="1"/>
  <c r="AT133" i="1"/>
  <c r="AG133" i="1"/>
  <c r="AA133" i="1"/>
  <c r="N133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G132" i="1"/>
  <c r="AA132" i="1"/>
  <c r="N132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G131" i="1"/>
  <c r="AA131" i="1"/>
  <c r="N131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G130" i="1"/>
  <c r="AA130" i="1"/>
  <c r="N130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X129" i="1"/>
  <c r="AW129" i="1"/>
  <c r="AV129" i="1"/>
  <c r="AU129" i="1"/>
  <c r="AT129" i="1"/>
  <c r="AG129" i="1"/>
  <c r="AA129" i="1"/>
  <c r="N129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X128" i="1"/>
  <c r="AW128" i="1"/>
  <c r="AV128" i="1"/>
  <c r="AU128" i="1"/>
  <c r="AT128" i="1"/>
  <c r="AG128" i="1"/>
  <c r="AA128" i="1"/>
  <c r="N128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G127" i="1"/>
  <c r="AA127" i="1"/>
  <c r="N127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G126" i="1"/>
  <c r="AA126" i="1"/>
  <c r="N126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G125" i="1"/>
  <c r="AA125" i="1"/>
  <c r="N125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X124" i="1"/>
  <c r="AW124" i="1"/>
  <c r="AV124" i="1"/>
  <c r="AU124" i="1"/>
  <c r="AT124" i="1"/>
  <c r="BL124" i="1" s="1"/>
  <c r="AG124" i="1"/>
  <c r="AY124" i="1" s="1"/>
  <c r="AA124" i="1"/>
  <c r="N124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X123" i="1"/>
  <c r="AW123" i="1"/>
  <c r="AV123" i="1"/>
  <c r="AU123" i="1"/>
  <c r="AT123" i="1"/>
  <c r="AG123" i="1"/>
  <c r="AA123" i="1"/>
  <c r="N123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X122" i="1"/>
  <c r="AW122" i="1"/>
  <c r="AV122" i="1"/>
  <c r="AU122" i="1"/>
  <c r="AT122" i="1"/>
  <c r="BL122" i="1" s="1"/>
  <c r="AG122" i="1"/>
  <c r="AA122" i="1"/>
  <c r="N122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X121" i="1"/>
  <c r="AW121" i="1"/>
  <c r="AV121" i="1"/>
  <c r="AU121" i="1"/>
  <c r="AT121" i="1"/>
  <c r="BL121" i="1" s="1"/>
  <c r="AG121" i="1"/>
  <c r="AY121" i="1" s="1"/>
  <c r="AA121" i="1"/>
  <c r="N121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X120" i="1"/>
  <c r="AW120" i="1"/>
  <c r="AV120" i="1"/>
  <c r="AU120" i="1"/>
  <c r="AT120" i="1"/>
  <c r="AG120" i="1"/>
  <c r="AA120" i="1"/>
  <c r="BL120" i="1" s="1"/>
  <c r="N120" i="1"/>
  <c r="AY120" i="1" s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G119" i="1"/>
  <c r="AA119" i="1"/>
  <c r="N119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G118" i="1"/>
  <c r="AA118" i="1"/>
  <c r="N118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X117" i="1"/>
  <c r="AW117" i="1"/>
  <c r="AV117" i="1"/>
  <c r="AU117" i="1"/>
  <c r="AT117" i="1"/>
  <c r="BL117" i="1" s="1"/>
  <c r="AG117" i="1"/>
  <c r="AA117" i="1"/>
  <c r="N117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X116" i="1"/>
  <c r="AW116" i="1"/>
  <c r="AV116" i="1"/>
  <c r="AU116" i="1"/>
  <c r="AT116" i="1"/>
  <c r="AG116" i="1"/>
  <c r="AA116" i="1"/>
  <c r="N116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X115" i="1"/>
  <c r="AW115" i="1"/>
  <c r="AV115" i="1"/>
  <c r="AU115" i="1"/>
  <c r="AT115" i="1"/>
  <c r="BL115" i="1" s="1"/>
  <c r="AG115" i="1"/>
  <c r="AY115" i="1" s="1"/>
  <c r="AA115" i="1"/>
  <c r="N115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G114" i="1"/>
  <c r="AA114" i="1"/>
  <c r="N114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G113" i="1"/>
  <c r="AA113" i="1"/>
  <c r="N113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G112" i="1"/>
  <c r="AA112" i="1"/>
  <c r="N112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X111" i="1"/>
  <c r="AW111" i="1"/>
  <c r="AV111" i="1"/>
  <c r="AU111" i="1"/>
  <c r="AT111" i="1"/>
  <c r="BL111" i="1" s="1"/>
  <c r="AG111" i="1"/>
  <c r="AA111" i="1"/>
  <c r="N111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X110" i="1"/>
  <c r="AW110" i="1"/>
  <c r="AV110" i="1"/>
  <c r="AU110" i="1"/>
  <c r="AT110" i="1"/>
  <c r="AG110" i="1"/>
  <c r="AA110" i="1"/>
  <c r="N110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G109" i="1"/>
  <c r="AA109" i="1"/>
  <c r="N109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G108" i="1"/>
  <c r="AA108" i="1"/>
  <c r="N108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G107" i="1"/>
  <c r="AA107" i="1"/>
  <c r="N107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X106" i="1"/>
  <c r="AW106" i="1"/>
  <c r="AV106" i="1"/>
  <c r="AU106" i="1"/>
  <c r="AT106" i="1"/>
  <c r="BL106" i="1" s="1"/>
  <c r="AG106" i="1"/>
  <c r="AY106" i="1" s="1"/>
  <c r="AA106" i="1"/>
  <c r="N106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X105" i="1"/>
  <c r="AW105" i="1"/>
  <c r="AV105" i="1"/>
  <c r="AU105" i="1"/>
  <c r="AT105" i="1"/>
  <c r="AG105" i="1"/>
  <c r="AA105" i="1"/>
  <c r="N105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X104" i="1"/>
  <c r="AW104" i="1"/>
  <c r="AV104" i="1"/>
  <c r="AU104" i="1"/>
  <c r="AT104" i="1"/>
  <c r="BL104" i="1" s="1"/>
  <c r="AG104" i="1"/>
  <c r="AA104" i="1"/>
  <c r="N104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X103" i="1"/>
  <c r="AW103" i="1"/>
  <c r="AV103" i="1"/>
  <c r="AU103" i="1"/>
  <c r="AT103" i="1"/>
  <c r="BL103" i="1" s="1"/>
  <c r="AG103" i="1"/>
  <c r="AY103" i="1" s="1"/>
  <c r="AA103" i="1"/>
  <c r="N103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X102" i="1"/>
  <c r="AW102" i="1"/>
  <c r="AV102" i="1"/>
  <c r="AU102" i="1"/>
  <c r="AT102" i="1"/>
  <c r="AG102" i="1"/>
  <c r="AA102" i="1"/>
  <c r="BL102" i="1" s="1"/>
  <c r="N102" i="1"/>
  <c r="AY102" i="1" s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G101" i="1"/>
  <c r="AA101" i="1"/>
  <c r="N101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G100" i="1"/>
  <c r="AA100" i="1"/>
  <c r="N100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X99" i="1"/>
  <c r="AW99" i="1"/>
  <c r="AV99" i="1"/>
  <c r="AU99" i="1"/>
  <c r="AT99" i="1"/>
  <c r="BL99" i="1" s="1"/>
  <c r="AG99" i="1"/>
  <c r="AA99" i="1"/>
  <c r="N99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X98" i="1"/>
  <c r="AW98" i="1"/>
  <c r="AV98" i="1"/>
  <c r="AU98" i="1"/>
  <c r="AT98" i="1"/>
  <c r="AG98" i="1"/>
  <c r="AA98" i="1"/>
  <c r="N98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X97" i="1"/>
  <c r="AW97" i="1"/>
  <c r="AV97" i="1"/>
  <c r="AU97" i="1"/>
  <c r="AT97" i="1"/>
  <c r="AG97" i="1"/>
  <c r="AA97" i="1"/>
  <c r="N97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G96" i="1"/>
  <c r="AA96" i="1"/>
  <c r="N96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G95" i="1"/>
  <c r="AA95" i="1"/>
  <c r="N95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G94" i="1"/>
  <c r="AA94" i="1"/>
  <c r="N94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X93" i="1"/>
  <c r="AW93" i="1"/>
  <c r="AV93" i="1"/>
  <c r="AU93" i="1"/>
  <c r="AT93" i="1"/>
  <c r="AG93" i="1"/>
  <c r="AA93" i="1"/>
  <c r="N93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X92" i="1"/>
  <c r="AW92" i="1"/>
  <c r="AV92" i="1"/>
  <c r="AU92" i="1"/>
  <c r="AT92" i="1"/>
  <c r="AG92" i="1"/>
  <c r="AA92" i="1"/>
  <c r="N92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G91" i="1"/>
  <c r="AA91" i="1"/>
  <c r="N91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G90" i="1"/>
  <c r="AA90" i="1"/>
  <c r="N90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G89" i="1"/>
  <c r="AA89" i="1"/>
  <c r="N89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X88" i="1"/>
  <c r="AW88" i="1"/>
  <c r="AV88" i="1"/>
  <c r="AU88" i="1"/>
  <c r="AT88" i="1"/>
  <c r="BL88" i="1" s="1"/>
  <c r="AG88" i="1"/>
  <c r="AY88" i="1" s="1"/>
  <c r="AA88" i="1"/>
  <c r="N88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X87" i="1"/>
  <c r="AW87" i="1"/>
  <c r="AV87" i="1"/>
  <c r="AU87" i="1"/>
  <c r="AT87" i="1"/>
  <c r="AG87" i="1"/>
  <c r="AA87" i="1"/>
  <c r="N87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X86" i="1"/>
  <c r="AW86" i="1"/>
  <c r="AV86" i="1"/>
  <c r="AU86" i="1"/>
  <c r="AT86" i="1"/>
  <c r="BL86" i="1" s="1"/>
  <c r="AG86" i="1"/>
  <c r="AA86" i="1"/>
  <c r="N86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X85" i="1"/>
  <c r="AW85" i="1"/>
  <c r="AV85" i="1"/>
  <c r="AU85" i="1"/>
  <c r="AT85" i="1"/>
  <c r="BL85" i="1" s="1"/>
  <c r="AG85" i="1"/>
  <c r="AY85" i="1" s="1"/>
  <c r="AA85" i="1"/>
  <c r="N85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X84" i="1"/>
  <c r="AW84" i="1"/>
  <c r="AV84" i="1"/>
  <c r="AU84" i="1"/>
  <c r="AT84" i="1"/>
  <c r="AG84" i="1"/>
  <c r="AA84" i="1"/>
  <c r="BL84" i="1" s="1"/>
  <c r="N84" i="1"/>
  <c r="AY84" i="1" s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G83" i="1"/>
  <c r="AA83" i="1"/>
  <c r="N83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G82" i="1"/>
  <c r="AA82" i="1"/>
  <c r="N82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X81" i="1"/>
  <c r="AW81" i="1"/>
  <c r="AV81" i="1"/>
  <c r="AU81" i="1"/>
  <c r="AT81" i="1"/>
  <c r="BL81" i="1" s="1"/>
  <c r="AG81" i="1"/>
  <c r="AA81" i="1"/>
  <c r="N81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X80" i="1"/>
  <c r="AW80" i="1"/>
  <c r="AV80" i="1"/>
  <c r="AU80" i="1"/>
  <c r="AT80" i="1"/>
  <c r="BL80" i="1" s="1"/>
  <c r="AG80" i="1"/>
  <c r="AY80" i="1" s="1"/>
  <c r="AA80" i="1"/>
  <c r="N80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X79" i="1"/>
  <c r="AW79" i="1"/>
  <c r="AV79" i="1"/>
  <c r="AU79" i="1"/>
  <c r="AT79" i="1"/>
  <c r="AG79" i="1"/>
  <c r="AA79" i="1"/>
  <c r="N79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G78" i="1"/>
  <c r="AA78" i="1"/>
  <c r="N78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G77" i="1"/>
  <c r="AA77" i="1"/>
  <c r="N77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G76" i="1"/>
  <c r="AA76" i="1"/>
  <c r="N76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X75" i="1"/>
  <c r="AW75" i="1"/>
  <c r="AV75" i="1"/>
  <c r="AU75" i="1"/>
  <c r="AT75" i="1"/>
  <c r="AG75" i="1"/>
  <c r="AA75" i="1"/>
  <c r="N75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X74" i="1"/>
  <c r="AW74" i="1"/>
  <c r="AV74" i="1"/>
  <c r="AU74" i="1"/>
  <c r="AT74" i="1"/>
  <c r="AG74" i="1"/>
  <c r="AA74" i="1"/>
  <c r="N74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G73" i="1"/>
  <c r="AA73" i="1"/>
  <c r="N73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G72" i="1"/>
  <c r="AA72" i="1"/>
  <c r="N72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G71" i="1"/>
  <c r="AA71" i="1"/>
  <c r="N71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X70" i="1"/>
  <c r="AW70" i="1"/>
  <c r="AV70" i="1"/>
  <c r="AU70" i="1"/>
  <c r="AT70" i="1"/>
  <c r="BL70" i="1" s="1"/>
  <c r="AG70" i="1"/>
  <c r="AY70" i="1" s="1"/>
  <c r="AA70" i="1"/>
  <c r="N70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X69" i="1"/>
  <c r="AW69" i="1"/>
  <c r="AV69" i="1"/>
  <c r="AU69" i="1"/>
  <c r="AT69" i="1"/>
  <c r="AG69" i="1"/>
  <c r="AA69" i="1"/>
  <c r="N69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X68" i="1"/>
  <c r="AW68" i="1"/>
  <c r="AV68" i="1"/>
  <c r="AU68" i="1"/>
  <c r="AT68" i="1"/>
  <c r="BL68" i="1" s="1"/>
  <c r="AG68" i="1"/>
  <c r="AA68" i="1"/>
  <c r="N68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X67" i="1"/>
  <c r="AW67" i="1"/>
  <c r="AV67" i="1"/>
  <c r="AU67" i="1"/>
  <c r="AT67" i="1"/>
  <c r="BL67" i="1" s="1"/>
  <c r="AG67" i="1"/>
  <c r="AY67" i="1" s="1"/>
  <c r="AA67" i="1"/>
  <c r="N67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X66" i="1"/>
  <c r="AW66" i="1"/>
  <c r="AV66" i="1"/>
  <c r="AU66" i="1"/>
  <c r="AT66" i="1"/>
  <c r="AG66" i="1"/>
  <c r="AA66" i="1"/>
  <c r="BL66" i="1" s="1"/>
  <c r="N66" i="1"/>
  <c r="AY66" i="1" s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G65" i="1"/>
  <c r="AA65" i="1"/>
  <c r="N65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G64" i="1"/>
  <c r="AA64" i="1"/>
  <c r="N64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X63" i="1"/>
  <c r="AW63" i="1"/>
  <c r="AV63" i="1"/>
  <c r="AU63" i="1"/>
  <c r="AT63" i="1"/>
  <c r="BL63" i="1" s="1"/>
  <c r="AG63" i="1"/>
  <c r="AA63" i="1"/>
  <c r="N63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X62" i="1"/>
  <c r="AW62" i="1"/>
  <c r="AV62" i="1"/>
  <c r="AU62" i="1"/>
  <c r="AT62" i="1"/>
  <c r="AG62" i="1"/>
  <c r="AA62" i="1"/>
  <c r="N62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X61" i="1"/>
  <c r="AW61" i="1"/>
  <c r="AV61" i="1"/>
  <c r="AU61" i="1"/>
  <c r="AT61" i="1"/>
  <c r="BL61" i="1" s="1"/>
  <c r="AG61" i="1"/>
  <c r="AY61" i="1" s="1"/>
  <c r="AA61" i="1"/>
  <c r="N61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G60" i="1"/>
  <c r="AA60" i="1"/>
  <c r="N60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G59" i="1"/>
  <c r="AA59" i="1"/>
  <c r="N59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G58" i="1"/>
  <c r="AA58" i="1"/>
  <c r="N58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X57" i="1"/>
  <c r="AW57" i="1"/>
  <c r="AV57" i="1"/>
  <c r="AU57" i="1"/>
  <c r="AT57" i="1"/>
  <c r="BL57" i="1" s="1"/>
  <c r="AG57" i="1"/>
  <c r="AA57" i="1"/>
  <c r="N57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X56" i="1"/>
  <c r="AW56" i="1"/>
  <c r="AV56" i="1"/>
  <c r="AU56" i="1"/>
  <c r="AT56" i="1"/>
  <c r="AG56" i="1"/>
  <c r="AA56" i="1"/>
  <c r="N56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G55" i="1"/>
  <c r="AA55" i="1"/>
  <c r="N55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G54" i="1"/>
  <c r="AA54" i="1"/>
  <c r="N54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G53" i="1"/>
  <c r="AA53" i="1"/>
  <c r="N53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X52" i="1"/>
  <c r="AW52" i="1"/>
  <c r="AV52" i="1"/>
  <c r="AU52" i="1"/>
  <c r="AT52" i="1"/>
  <c r="BL52" i="1" s="1"/>
  <c r="AG52" i="1"/>
  <c r="AY52" i="1" s="1"/>
  <c r="AA52" i="1"/>
  <c r="N52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X51" i="1"/>
  <c r="AW51" i="1"/>
  <c r="AV51" i="1"/>
  <c r="AU51" i="1"/>
  <c r="AT51" i="1"/>
  <c r="AG51" i="1"/>
  <c r="AA51" i="1"/>
  <c r="N51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X50" i="1"/>
  <c r="AW50" i="1"/>
  <c r="AV50" i="1"/>
  <c r="AU50" i="1"/>
  <c r="AT50" i="1"/>
  <c r="BL50" i="1" s="1"/>
  <c r="AG50" i="1"/>
  <c r="AA50" i="1"/>
  <c r="N50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X49" i="1"/>
  <c r="AW49" i="1"/>
  <c r="AV49" i="1"/>
  <c r="AU49" i="1"/>
  <c r="AT49" i="1"/>
  <c r="BL49" i="1" s="1"/>
  <c r="AG49" i="1"/>
  <c r="AY49" i="1" s="1"/>
  <c r="AA49" i="1"/>
  <c r="N49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X48" i="1"/>
  <c r="AW48" i="1"/>
  <c r="AV48" i="1"/>
  <c r="AU48" i="1"/>
  <c r="AT48" i="1"/>
  <c r="AG48" i="1"/>
  <c r="AA48" i="1"/>
  <c r="BL48" i="1" s="1"/>
  <c r="N48" i="1"/>
  <c r="AY48" i="1" s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G47" i="1"/>
  <c r="AA47" i="1"/>
  <c r="N47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G46" i="1"/>
  <c r="AA46" i="1"/>
  <c r="N46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X45" i="1"/>
  <c r="AW45" i="1"/>
  <c r="AV45" i="1"/>
  <c r="AU45" i="1"/>
  <c r="AT45" i="1"/>
  <c r="BL45" i="1" s="1"/>
  <c r="AG45" i="1"/>
  <c r="AA45" i="1"/>
  <c r="N45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X44" i="1"/>
  <c r="AW44" i="1"/>
  <c r="AV44" i="1"/>
  <c r="AU44" i="1"/>
  <c r="AT44" i="1"/>
  <c r="AG44" i="1"/>
  <c r="AA44" i="1"/>
  <c r="N44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X43" i="1"/>
  <c r="AW43" i="1"/>
  <c r="AV43" i="1"/>
  <c r="AU43" i="1"/>
  <c r="AT43" i="1"/>
  <c r="AG43" i="1"/>
  <c r="AA43" i="1"/>
  <c r="N43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G42" i="1"/>
  <c r="AA42" i="1"/>
  <c r="N42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G41" i="1"/>
  <c r="AA41" i="1"/>
  <c r="N41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G40" i="1"/>
  <c r="AA40" i="1"/>
  <c r="N40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X39" i="1"/>
  <c r="AW39" i="1"/>
  <c r="AV39" i="1"/>
  <c r="AU39" i="1"/>
  <c r="AT39" i="1"/>
  <c r="AG39" i="1"/>
  <c r="AA39" i="1"/>
  <c r="N39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X38" i="1"/>
  <c r="AW38" i="1"/>
  <c r="AV38" i="1"/>
  <c r="AU38" i="1"/>
  <c r="AT38" i="1"/>
  <c r="AG38" i="1"/>
  <c r="AA38" i="1"/>
  <c r="N38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G37" i="1"/>
  <c r="AA37" i="1"/>
  <c r="N37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G36" i="1"/>
  <c r="AA36" i="1"/>
  <c r="N36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G35" i="1"/>
  <c r="AA35" i="1"/>
  <c r="N35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X34" i="1"/>
  <c r="AW34" i="1"/>
  <c r="AV34" i="1"/>
  <c r="AU34" i="1"/>
  <c r="AT34" i="1"/>
  <c r="BL34" i="1" s="1"/>
  <c r="AG34" i="1"/>
  <c r="AY34" i="1" s="1"/>
  <c r="AA34" i="1"/>
  <c r="N34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X33" i="1"/>
  <c r="AW33" i="1"/>
  <c r="AV33" i="1"/>
  <c r="AU33" i="1"/>
  <c r="AT33" i="1"/>
  <c r="AG33" i="1"/>
  <c r="AA33" i="1"/>
  <c r="N33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X32" i="1"/>
  <c r="AW32" i="1"/>
  <c r="AV32" i="1"/>
  <c r="AU32" i="1"/>
  <c r="AT32" i="1"/>
  <c r="BL32" i="1" s="1"/>
  <c r="AG32" i="1"/>
  <c r="AA32" i="1"/>
  <c r="N32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X31" i="1"/>
  <c r="AW31" i="1"/>
  <c r="AV31" i="1"/>
  <c r="AU31" i="1"/>
  <c r="AT31" i="1"/>
  <c r="BL31" i="1" s="1"/>
  <c r="AG31" i="1"/>
  <c r="AY31" i="1" s="1"/>
  <c r="AA31" i="1"/>
  <c r="N31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X30" i="1"/>
  <c r="AW30" i="1"/>
  <c r="AV30" i="1"/>
  <c r="AU30" i="1"/>
  <c r="AT30" i="1"/>
  <c r="AG30" i="1"/>
  <c r="AA30" i="1"/>
  <c r="BL30" i="1" s="1"/>
  <c r="N30" i="1"/>
  <c r="AY30" i="1" s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G29" i="1"/>
  <c r="AA29" i="1"/>
  <c r="N29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G28" i="1"/>
  <c r="AA28" i="1"/>
  <c r="N28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X27" i="1"/>
  <c r="AW27" i="1"/>
  <c r="AV27" i="1"/>
  <c r="AU27" i="1"/>
  <c r="AT27" i="1"/>
  <c r="BL27" i="1" s="1"/>
  <c r="AG27" i="1"/>
  <c r="AA27" i="1"/>
  <c r="N27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X26" i="1"/>
  <c r="AW26" i="1"/>
  <c r="AV26" i="1"/>
  <c r="AU26" i="1"/>
  <c r="AT26" i="1"/>
  <c r="BL26" i="1" s="1"/>
  <c r="AG26" i="1"/>
  <c r="AY26" i="1" s="1"/>
  <c r="AA26" i="1"/>
  <c r="N26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X25" i="1"/>
  <c r="AW25" i="1"/>
  <c r="AV25" i="1"/>
  <c r="AU25" i="1"/>
  <c r="AT25" i="1"/>
  <c r="AG25" i="1"/>
  <c r="AA25" i="1"/>
  <c r="N25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G24" i="1"/>
  <c r="AA24" i="1"/>
  <c r="N24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G23" i="1"/>
  <c r="AA23" i="1"/>
  <c r="N23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G22" i="1"/>
  <c r="AA22" i="1"/>
  <c r="N22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X21" i="1"/>
  <c r="AW21" i="1"/>
  <c r="AV21" i="1"/>
  <c r="AU21" i="1"/>
  <c r="AT21" i="1"/>
  <c r="AG21" i="1"/>
  <c r="AA21" i="1"/>
  <c r="N21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X20" i="1"/>
  <c r="AW20" i="1"/>
  <c r="AV20" i="1"/>
  <c r="AU20" i="1"/>
  <c r="AT20" i="1"/>
  <c r="AG20" i="1"/>
  <c r="AA20" i="1"/>
  <c r="N20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G19" i="1"/>
  <c r="AA19" i="1"/>
  <c r="N19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G18" i="1"/>
  <c r="AA18" i="1"/>
  <c r="N18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G17" i="1"/>
  <c r="AA17" i="1"/>
  <c r="N17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X16" i="1"/>
  <c r="AW16" i="1"/>
  <c r="AV16" i="1"/>
  <c r="AU16" i="1"/>
  <c r="AT16" i="1"/>
  <c r="BL16" i="1" s="1"/>
  <c r="AG16" i="1"/>
  <c r="AY16" i="1" s="1"/>
  <c r="AA16" i="1"/>
  <c r="N16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X15" i="1"/>
  <c r="AW15" i="1"/>
  <c r="AV15" i="1"/>
  <c r="AU15" i="1"/>
  <c r="AT15" i="1"/>
  <c r="AG15" i="1"/>
  <c r="AA15" i="1"/>
  <c r="N15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X14" i="1"/>
  <c r="AW14" i="1"/>
  <c r="AV14" i="1"/>
  <c r="AU14" i="1"/>
  <c r="AT14" i="1"/>
  <c r="AG14" i="1"/>
  <c r="AA14" i="1"/>
  <c r="N14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BL13" i="1" s="1"/>
  <c r="AG13" i="1"/>
  <c r="AA13" i="1"/>
  <c r="N13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X12" i="1"/>
  <c r="AW12" i="1"/>
  <c r="AV12" i="1"/>
  <c r="AU12" i="1"/>
  <c r="AT12" i="1"/>
  <c r="AG12" i="1"/>
  <c r="AY12" i="1" s="1"/>
  <c r="AA12" i="1"/>
  <c r="BL12" i="1" s="1"/>
  <c r="N12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X11" i="1"/>
  <c r="AW11" i="1"/>
  <c r="AV11" i="1"/>
  <c r="AU11" i="1"/>
  <c r="AT11" i="1"/>
  <c r="AG11" i="1"/>
  <c r="AA11" i="1"/>
  <c r="N11" i="1"/>
  <c r="AY11" i="1" s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X10" i="1"/>
  <c r="AW10" i="1"/>
  <c r="AV10" i="1"/>
  <c r="AU10" i="1"/>
  <c r="AT10" i="1"/>
  <c r="AG10" i="1"/>
  <c r="AY10" i="1" s="1"/>
  <c r="AA10" i="1"/>
  <c r="N10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G9" i="1"/>
  <c r="AA9" i="1"/>
  <c r="N9" i="1"/>
  <c r="BK8" i="1"/>
  <c r="BJ8" i="1"/>
  <c r="BI8" i="1"/>
  <c r="BH8" i="1"/>
  <c r="BG8" i="1"/>
  <c r="BF8" i="1"/>
  <c r="BE8" i="1"/>
  <c r="BD8" i="1"/>
  <c r="BC8" i="1"/>
  <c r="BB8" i="1"/>
  <c r="BA8" i="1"/>
  <c r="AZ8" i="1"/>
  <c r="AX8" i="1"/>
  <c r="AW8" i="1"/>
  <c r="AV8" i="1"/>
  <c r="AU8" i="1"/>
  <c r="AT8" i="1"/>
  <c r="BL8" i="1" s="1"/>
  <c r="AG8" i="1"/>
  <c r="AY8" i="1" s="1"/>
  <c r="AA8" i="1"/>
  <c r="N8" i="1"/>
  <c r="BK7" i="1"/>
  <c r="BJ7" i="1"/>
  <c r="BI7" i="1"/>
  <c r="BH7" i="1"/>
  <c r="BG7" i="1"/>
  <c r="BF7" i="1"/>
  <c r="BE7" i="1"/>
  <c r="BD7" i="1"/>
  <c r="BC7" i="1"/>
  <c r="BB7" i="1"/>
  <c r="BA7" i="1"/>
  <c r="AZ7" i="1"/>
  <c r="AX7" i="1"/>
  <c r="AW7" i="1"/>
  <c r="AV7" i="1"/>
  <c r="AU7" i="1"/>
  <c r="AT7" i="1"/>
  <c r="BL7" i="1" s="1"/>
  <c r="AG7" i="1"/>
  <c r="AY7" i="1" s="1"/>
  <c r="AA7" i="1"/>
  <c r="N7" i="1"/>
  <c r="BK6" i="1"/>
  <c r="BJ6" i="1"/>
  <c r="BI6" i="1"/>
  <c r="BH6" i="1"/>
  <c r="BG6" i="1"/>
  <c r="BF6" i="1"/>
  <c r="BE6" i="1"/>
  <c r="BD6" i="1"/>
  <c r="BC6" i="1"/>
  <c r="BB6" i="1"/>
  <c r="BA6" i="1"/>
  <c r="AZ6" i="1"/>
  <c r="AX6" i="1"/>
  <c r="AW6" i="1"/>
  <c r="AV6" i="1"/>
  <c r="AU6" i="1"/>
  <c r="AT6" i="1"/>
  <c r="AG6" i="1"/>
  <c r="AA6" i="1"/>
  <c r="N6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G5" i="1"/>
  <c r="AA5" i="1"/>
  <c r="N5" i="1"/>
  <c r="BK2" i="1"/>
  <c r="BJ2" i="1"/>
  <c r="BI2" i="1"/>
  <c r="AS2" i="1"/>
  <c r="AR2" i="1"/>
  <c r="AQ2" i="1"/>
  <c r="AP2" i="1"/>
  <c r="AO2" i="1"/>
  <c r="BG2" i="1" s="1"/>
  <c r="AN2" i="1"/>
  <c r="BF2" i="1" s="1"/>
  <c r="AM2" i="1"/>
  <c r="BE2" i="1" s="1"/>
  <c r="AL2" i="1"/>
  <c r="BD2" i="1" s="1"/>
  <c r="AK2" i="1"/>
  <c r="BC2" i="1" s="1"/>
  <c r="AJ2" i="1"/>
  <c r="BB2" i="1" s="1"/>
  <c r="AI2" i="1"/>
  <c r="BA2" i="1" s="1"/>
  <c r="AH2" i="1"/>
  <c r="AZ2" i="1" s="1"/>
  <c r="AF2" i="1"/>
  <c r="AE2" i="1"/>
  <c r="AD2" i="1"/>
  <c r="AC2" i="1"/>
  <c r="Z2" i="1"/>
  <c r="Y2" i="1"/>
  <c r="X2" i="1"/>
  <c r="W2" i="1"/>
  <c r="BH2" i="1" s="1"/>
  <c r="V2" i="1"/>
  <c r="U2" i="1"/>
  <c r="T2" i="1"/>
  <c r="S2" i="1"/>
  <c r="R2" i="1"/>
  <c r="Q2" i="1"/>
  <c r="P2" i="1"/>
  <c r="O2" i="1"/>
  <c r="M2" i="1"/>
  <c r="AX2" i="1" s="1"/>
  <c r="L2" i="1"/>
  <c r="AW2" i="1" s="1"/>
  <c r="K2" i="1"/>
  <c r="AV2" i="1" s="1"/>
  <c r="J2" i="1"/>
  <c r="AU2" i="1" s="1"/>
  <c r="BD1" i="1"/>
  <c r="BC1" i="1"/>
  <c r="BB1" i="1"/>
  <c r="AU1" i="1"/>
  <c r="AS1" i="1"/>
  <c r="BK1" i="1" s="1"/>
  <c r="AR1" i="1"/>
  <c r="BJ1" i="1" s="1"/>
  <c r="AQ1" i="1"/>
  <c r="BI1" i="1" s="1"/>
  <c r="AP1" i="1"/>
  <c r="BH1" i="1" s="1"/>
  <c r="AO1" i="1"/>
  <c r="AN1" i="1"/>
  <c r="AM1" i="1"/>
  <c r="BE1" i="1" s="1"/>
  <c r="AL1" i="1"/>
  <c r="AK1" i="1"/>
  <c r="AJ1" i="1"/>
  <c r="AI1" i="1"/>
  <c r="BA1" i="1" s="1"/>
  <c r="AH1" i="1"/>
  <c r="AZ1" i="1" s="1"/>
  <c r="AF1" i="1"/>
  <c r="AX1" i="1" s="1"/>
  <c r="AE1" i="1"/>
  <c r="AW1" i="1" s="1"/>
  <c r="AD1" i="1"/>
  <c r="AV1" i="1" s="1"/>
  <c r="AC1" i="1"/>
  <c r="Z1" i="1"/>
  <c r="Y1" i="1"/>
  <c r="X1" i="1"/>
  <c r="W1" i="1"/>
  <c r="V1" i="1"/>
  <c r="U1" i="1"/>
  <c r="T1" i="1"/>
  <c r="S1" i="1"/>
  <c r="R1" i="1"/>
  <c r="Q1" i="1"/>
  <c r="P1" i="1"/>
  <c r="O1" i="1"/>
  <c r="M1" i="1"/>
  <c r="L1" i="1"/>
  <c r="K1" i="1"/>
  <c r="J1" i="1"/>
  <c r="AY39" i="1" l="1"/>
  <c r="AY93" i="1"/>
  <c r="AY147" i="1"/>
  <c r="AY201" i="1"/>
  <c r="BL39" i="1"/>
  <c r="BL93" i="1"/>
  <c r="BL147" i="1"/>
  <c r="BL201" i="1"/>
  <c r="AT2" i="1"/>
  <c r="BL2" i="1" s="1"/>
  <c r="AY15" i="1"/>
  <c r="AY43" i="1"/>
  <c r="AY62" i="1"/>
  <c r="AY97" i="1"/>
  <c r="AY116" i="1"/>
  <c r="AY151" i="1"/>
  <c r="AY170" i="1"/>
  <c r="AY205" i="1"/>
  <c r="AY224" i="1"/>
  <c r="BF1" i="1"/>
  <c r="BL43" i="1"/>
  <c r="BL62" i="1"/>
  <c r="BL97" i="1"/>
  <c r="BL116" i="1"/>
  <c r="BL151" i="1"/>
  <c r="BL170" i="1"/>
  <c r="BL205" i="1"/>
  <c r="BL224" i="1"/>
  <c r="BG1" i="1"/>
  <c r="AY57" i="1"/>
  <c r="AY111" i="1"/>
  <c r="AY165" i="1"/>
  <c r="AY219" i="1"/>
  <c r="AY21" i="1"/>
  <c r="AY75" i="1"/>
  <c r="AY129" i="1"/>
  <c r="AY183" i="1"/>
  <c r="AT1" i="1"/>
  <c r="BL6" i="1"/>
  <c r="AA2" i="1"/>
  <c r="AA1" i="1"/>
  <c r="BL21" i="1"/>
  <c r="BL75" i="1"/>
  <c r="BL129" i="1"/>
  <c r="BL183" i="1"/>
  <c r="N2" i="1"/>
  <c r="AG2" i="1"/>
  <c r="AY2" i="1" s="1"/>
  <c r="AY25" i="1"/>
  <c r="AY44" i="1"/>
  <c r="AY79" i="1"/>
  <c r="AY98" i="1"/>
  <c r="AY133" i="1"/>
  <c r="AY152" i="1"/>
  <c r="AY187" i="1"/>
  <c r="AY206" i="1"/>
  <c r="BL25" i="1"/>
  <c r="BL44" i="1"/>
  <c r="BL79" i="1"/>
  <c r="BL98" i="1"/>
  <c r="BL133" i="1"/>
  <c r="BL152" i="1"/>
  <c r="BL187" i="1"/>
  <c r="BL206" i="1"/>
  <c r="N1" i="1"/>
  <c r="AY33" i="1"/>
  <c r="AY56" i="1"/>
  <c r="AY110" i="1"/>
  <c r="AY123" i="1"/>
  <c r="AY128" i="1"/>
  <c r="AY141" i="1"/>
  <c r="AY164" i="1"/>
  <c r="AY200" i="1"/>
  <c r="AY236" i="1"/>
  <c r="BL20" i="1"/>
  <c r="BL69" i="1"/>
  <c r="BL92" i="1"/>
  <c r="BL105" i="1"/>
  <c r="BL110" i="1"/>
  <c r="BL123" i="1"/>
  <c r="BL141" i="1"/>
  <c r="BL146" i="1"/>
  <c r="BL159" i="1"/>
  <c r="BL164" i="1"/>
  <c r="BL177" i="1"/>
  <c r="BL213" i="1"/>
  <c r="BL218" i="1"/>
  <c r="BL9" i="1"/>
  <c r="AY14" i="1"/>
  <c r="BL15" i="1"/>
  <c r="AY20" i="1"/>
  <c r="AY38" i="1"/>
  <c r="AY69" i="1"/>
  <c r="AY92" i="1"/>
  <c r="AY146" i="1"/>
  <c r="AY182" i="1"/>
  <c r="AY213" i="1"/>
  <c r="BL33" i="1"/>
  <c r="BL38" i="1"/>
  <c r="BL51" i="1"/>
  <c r="BL74" i="1"/>
  <c r="BL128" i="1"/>
  <c r="BL182" i="1"/>
  <c r="BL195" i="1"/>
  <c r="BL200" i="1"/>
  <c r="BL231" i="1"/>
  <c r="BL236" i="1"/>
  <c r="AY6" i="1"/>
  <c r="BL14" i="1"/>
  <c r="AY27" i="1"/>
  <c r="AY32" i="1"/>
  <c r="AY45" i="1"/>
  <c r="AY50" i="1"/>
  <c r="AY63" i="1"/>
  <c r="AY68" i="1"/>
  <c r="AY81" i="1"/>
  <c r="AY86" i="1"/>
  <c r="AY99" i="1"/>
  <c r="AY104" i="1"/>
  <c r="AY117" i="1"/>
  <c r="AY122" i="1"/>
  <c r="AY135" i="1"/>
  <c r="AY140" i="1"/>
  <c r="AY153" i="1"/>
  <c r="AY158" i="1"/>
  <c r="AY171" i="1"/>
  <c r="AY176" i="1"/>
  <c r="AY189" i="1"/>
  <c r="AY194" i="1"/>
  <c r="AY207" i="1"/>
  <c r="AY212" i="1"/>
  <c r="AY225" i="1"/>
  <c r="AY230" i="1"/>
  <c r="AY51" i="1"/>
  <c r="AY74" i="1"/>
  <c r="AY87" i="1"/>
  <c r="AY105" i="1"/>
  <c r="AY159" i="1"/>
  <c r="AY177" i="1"/>
  <c r="AY195" i="1"/>
  <c r="AY218" i="1"/>
  <c r="AY231" i="1"/>
  <c r="BL56" i="1"/>
  <c r="BL87" i="1"/>
  <c r="AG1" i="1"/>
  <c r="AY1" i="1" s="1"/>
  <c r="BL1" i="1" l="1"/>
</calcChain>
</file>

<file path=xl/sharedStrings.xml><?xml version="1.0" encoding="utf-8"?>
<sst xmlns="http://schemas.openxmlformats.org/spreadsheetml/2006/main" count="1524" uniqueCount="378">
  <si>
    <t>Soma</t>
  </si>
  <si>
    <t>SubTotal</t>
  </si>
  <si>
    <t>Prev.Vendas (Qtde)</t>
  </si>
  <si>
    <t>Prev. Vendas (Qtde)</t>
  </si>
  <si>
    <t>Prev.Vendas (R$)</t>
  </si>
  <si>
    <t>Prev.+ Real. (R$)</t>
  </si>
  <si>
    <t>Prev.Vendas (PM)</t>
  </si>
  <si>
    <t>Material</t>
  </si>
  <si>
    <t>Código</t>
  </si>
  <si>
    <t>Marca</t>
  </si>
  <si>
    <t>Submarca</t>
  </si>
  <si>
    <t>CategoriaMkt</t>
  </si>
  <si>
    <t>Lançamento</t>
  </si>
  <si>
    <t>Classificação</t>
  </si>
  <si>
    <t>Set.2025</t>
  </si>
  <si>
    <t>Out.2025</t>
  </si>
  <si>
    <t>Nov.2025</t>
  </si>
  <si>
    <t>Dez.2025</t>
  </si>
  <si>
    <t>Jan.2026</t>
  </si>
  <si>
    <t>Fev.2026</t>
  </si>
  <si>
    <t>Mar.2026</t>
  </si>
  <si>
    <t>Abr.2026</t>
  </si>
  <si>
    <t>Mai.2026</t>
  </si>
  <si>
    <t>Jun.2026</t>
  </si>
  <si>
    <t>Jul.2026</t>
  </si>
  <si>
    <t>Ago.2026</t>
  </si>
  <si>
    <t>Set.2026</t>
  </si>
  <si>
    <t>Out.2026</t>
  </si>
  <si>
    <t>Nov.2026</t>
  </si>
  <si>
    <t>Dez.2026</t>
  </si>
  <si>
    <t>Abc Creme 1X20</t>
  </si>
  <si>
    <t>Abc</t>
  </si>
  <si>
    <t>Dermatológicos</t>
  </si>
  <si>
    <t/>
  </si>
  <si>
    <t>Portfólio</t>
  </si>
  <si>
    <t>Abc Spray 1X30 Ml</t>
  </si>
  <si>
    <t>Acneblock Gel 1X30G</t>
  </si>
  <si>
    <t>Acneblock</t>
  </si>
  <si>
    <t>Acneblock S Sabonete 1X80G</t>
  </si>
  <si>
    <t>Acneblock Sabonete Esfoliante 1X90G</t>
  </si>
  <si>
    <t>Acneblock Sabonete Herbal 1X85G</t>
  </si>
  <si>
    <t>Acneblock Sabonete Liquido 1X150Ml</t>
  </si>
  <si>
    <t>Acqua Gel Lubrificante Intimo 1X60</t>
  </si>
  <si>
    <t>Acquagel</t>
  </si>
  <si>
    <t>Acquagel Bisnaga 1X100G</t>
  </si>
  <si>
    <t>Acquagel Bisnaga 1X50G</t>
  </si>
  <si>
    <t>Acquagel Hot 1X60</t>
  </si>
  <si>
    <t>Anti Septico Clo 1X30</t>
  </si>
  <si>
    <t>Anti+Septico</t>
  </si>
  <si>
    <t>Anti Septico Clo Spray 1X50</t>
  </si>
  <si>
    <t>Antimais Septico Spray 1X50</t>
  </si>
  <si>
    <t>Arnica Gel Hertz 1X30</t>
  </si>
  <si>
    <t>Arnica</t>
  </si>
  <si>
    <t>Sistema Circulatório e Muscular</t>
  </si>
  <si>
    <t>Creme De Arnica Hertz 1X30</t>
  </si>
  <si>
    <t>Bactoderm Pomada 1X15</t>
  </si>
  <si>
    <t>Bactoderm</t>
  </si>
  <si>
    <t>Bactoderm Pomada 1X50</t>
  </si>
  <si>
    <t>Calciodex 625+D 1X90</t>
  </si>
  <si>
    <t>Calciodex</t>
  </si>
  <si>
    <t>Vitaminas e Nutrição</t>
  </si>
  <si>
    <t>Calciodex 625+D 2X90</t>
  </si>
  <si>
    <t>Calciodex Caps Gel 1X60</t>
  </si>
  <si>
    <t>Calciodex Mdk 1X30 Cp</t>
  </si>
  <si>
    <t>Calciodex Mdk 1X60 Cp</t>
  </si>
  <si>
    <t>Kit Calciodex Economico Caps Gel 2X60</t>
  </si>
  <si>
    <t>Calotrat Plantar</t>
  </si>
  <si>
    <t>Calotrat</t>
  </si>
  <si>
    <t>Calotrat Solucao 1X5</t>
  </si>
  <si>
    <t>Candifeme 1X100</t>
  </si>
  <si>
    <t>Candifeme</t>
  </si>
  <si>
    <t>Capitrat Caps Gel 2X15</t>
  </si>
  <si>
    <t>Capitrat</t>
  </si>
  <si>
    <t>Capitrat Caps Gel 4X15</t>
  </si>
  <si>
    <t>Capitrat Men 1X50 Ml</t>
  </si>
  <si>
    <t>Capitrat Men</t>
  </si>
  <si>
    <t>Lançamentos</t>
  </si>
  <si>
    <t>Capitrat Men Refil 1X50 Ml</t>
  </si>
  <si>
    <t>Capitrat Men Refil 2X50 Ml</t>
  </si>
  <si>
    <t>Capitrat Xampu 1X150</t>
  </si>
  <si>
    <t>Clariskin Creme 1X30</t>
  </si>
  <si>
    <t>Clariskin</t>
  </si>
  <si>
    <t>Clariskin Creme Fps 30 1X30</t>
  </si>
  <si>
    <t>Dentalfix 20G</t>
  </si>
  <si>
    <t>Dentalfix</t>
  </si>
  <si>
    <t>Saúde Bucal</t>
  </si>
  <si>
    <t>Dentalfix 40G</t>
  </si>
  <si>
    <t>Dentalfix 68G</t>
  </si>
  <si>
    <t>Dentalfix Sabor Menta 20G</t>
  </si>
  <si>
    <t>Dentalfix Sabor Menta 40G</t>
  </si>
  <si>
    <t>Dentalfix Sabor Menta 68G</t>
  </si>
  <si>
    <t>Kit Dentalfix Sabor Menta 2X68G</t>
  </si>
  <si>
    <t>Kit Dentalfix Sem Sabor 2 X 68 G</t>
  </si>
  <si>
    <t>Desaftan 1X25 Ml</t>
  </si>
  <si>
    <t>Desaftan</t>
  </si>
  <si>
    <t>Dexpantol Baby Creme 1X30</t>
  </si>
  <si>
    <t>Dexpantol</t>
  </si>
  <si>
    <t>Dexpantol Baby Creme 1X60</t>
  </si>
  <si>
    <t>Dexpantol Derma Creme 1X20</t>
  </si>
  <si>
    <t>Dexpantol Derma Solucao 1X50</t>
  </si>
  <si>
    <t>Dexpantol Derma Spray 1X50</t>
  </si>
  <si>
    <t>Dioplex Dh Com 2X15</t>
  </si>
  <si>
    <t>Dioplex</t>
  </si>
  <si>
    <t>Dioplex Dh Com 4X15</t>
  </si>
  <si>
    <t>Efederm Creme 1X30G</t>
  </si>
  <si>
    <t>Efederm</t>
  </si>
  <si>
    <t>Efederm Creme 1X55</t>
  </si>
  <si>
    <t>Enemed 1X130</t>
  </si>
  <si>
    <t>Enemed</t>
  </si>
  <si>
    <t>Gastrointestinais</t>
  </si>
  <si>
    <t>Enemin 7X6.5G</t>
  </si>
  <si>
    <t>Enemin</t>
  </si>
  <si>
    <t>Enterofigon Sol Abacaxi 1X150</t>
  </si>
  <si>
    <t>Enterofigon</t>
  </si>
  <si>
    <t>Enterofigon Sol Abacaxi Flaconete 1X60</t>
  </si>
  <si>
    <t>Enterofigon Sol Pessego 1X150</t>
  </si>
  <si>
    <t>Enterofigon Sol Pessego Flaconete 1X60</t>
  </si>
  <si>
    <t>Florabac Capsulas 1X12</t>
  </si>
  <si>
    <t>Florabac</t>
  </si>
  <si>
    <t>Galenogal Elixir Pet 1X150</t>
  </si>
  <si>
    <t>Galenogal</t>
  </si>
  <si>
    <t>Gastrobion Cereja 1X150 Ml</t>
  </si>
  <si>
    <t>Gastrobion</t>
  </si>
  <si>
    <t>Gastrobion Cereja 1X240 Ml</t>
  </si>
  <si>
    <t>Gastrobion Menta 240ml</t>
  </si>
  <si>
    <t>HM263_1</t>
  </si>
  <si>
    <t>Pipeline</t>
  </si>
  <si>
    <t>Ginkocaps 2X15</t>
  </si>
  <si>
    <t>Ginkocaps</t>
  </si>
  <si>
    <t>Glifer 1X30</t>
  </si>
  <si>
    <t>Glifer</t>
  </si>
  <si>
    <t>Glyteol Xpe Baunilha 1X100Ml</t>
  </si>
  <si>
    <t>Glyteol</t>
  </si>
  <si>
    <t>Gripes Resfriados e Sistema Respiratório</t>
  </si>
  <si>
    <t>Glyteol Xpe Baunilha 1X150Ml</t>
  </si>
  <si>
    <t>Glyteol Xpe Morango 1X100Ml</t>
  </si>
  <si>
    <t>Gotas Preciosas 1X30</t>
  </si>
  <si>
    <t>Gotas Preciosas</t>
  </si>
  <si>
    <t>Guaramil Capsulas 48X5</t>
  </si>
  <si>
    <t>Guaramil</t>
  </si>
  <si>
    <t>Guaramil Energy Drink Flaconetes 1X60</t>
  </si>
  <si>
    <t>Guaramil Liquido 1X12</t>
  </si>
  <si>
    <t>Hederaflux 1 X 100Ml</t>
  </si>
  <si>
    <t>Hederaflux</t>
  </si>
  <si>
    <t>Hederaflux 1 X 200Ml</t>
  </si>
  <si>
    <t>HBN006 - Helioderm FPS 99, Corporal Adulto 200ml</t>
  </si>
  <si>
    <t>HBN006_1</t>
  </si>
  <si>
    <t>Helioderm</t>
  </si>
  <si>
    <t>Helioderm Corporal</t>
  </si>
  <si>
    <t>HBN006 - Helioderm FPS 99, Facial50ml</t>
  </si>
  <si>
    <t>HBN006_3</t>
  </si>
  <si>
    <t>Helioderm Facial</t>
  </si>
  <si>
    <t>HBN006 - Helioderm FPS 99, Kids e Baby120ml</t>
  </si>
  <si>
    <t>HBN006_2</t>
  </si>
  <si>
    <t>HBN012 - Helioderm Limpeza Facial150G</t>
  </si>
  <si>
    <t>HBN012_2</t>
  </si>
  <si>
    <t>Helioderm Limpeza Facial</t>
  </si>
  <si>
    <t>HBN012 - Helioderm Limpeza Facial300G</t>
  </si>
  <si>
    <t>HBN012_3</t>
  </si>
  <si>
    <t>HBN012 - Helioderm Limpeza Facial50G</t>
  </si>
  <si>
    <t>HBN012_1</t>
  </si>
  <si>
    <t>HBN013-Helioderm Stick FacialBastão FPS70 - 12g Bege Claro</t>
  </si>
  <si>
    <t>HBN013_2</t>
  </si>
  <si>
    <t>HBN013-Helioderm Stick FacialBastão FPS70 - 12g Bege Escuro</t>
  </si>
  <si>
    <t>HBN013_4</t>
  </si>
  <si>
    <t>HBN013-Helioderm Stick FacialBastão FPS70 - 12g Bege Médio</t>
  </si>
  <si>
    <t>HBN013_3</t>
  </si>
  <si>
    <t>HBN013-Helioderm Stick FacialBastão FPS70 - 12g Kids</t>
  </si>
  <si>
    <t>HBN013_5</t>
  </si>
  <si>
    <t>HBN013-Helioderm Stick FacialBastão FPS70 - 12g Sem Cor</t>
  </si>
  <si>
    <t>HBN013_1</t>
  </si>
  <si>
    <t>HBN015 - Helioderm LabialFPS 50</t>
  </si>
  <si>
    <t>HBN015</t>
  </si>
  <si>
    <t>Helioderm Labial</t>
  </si>
  <si>
    <t>Helioderm Corpo Fps70 120Ml</t>
  </si>
  <si>
    <t>Helioderm Corpo Fps70 200Ml</t>
  </si>
  <si>
    <t>Helioderm Efeito Dourado Fps30 120Ml</t>
  </si>
  <si>
    <t>Helioderm Efeito Dourado Fps30 200Ml</t>
  </si>
  <si>
    <t>Helioderm Facial Fps30 Tq Seco 1X50</t>
  </si>
  <si>
    <t>Helioderm Facial Fps50 Com Cor 1X50</t>
  </si>
  <si>
    <t>Helioderm Facial Fps70 Bege Claro</t>
  </si>
  <si>
    <t>Helioderm Facial Fps70 Bege Escuro</t>
  </si>
  <si>
    <t>Helioderm Facial Fps70 Bege Medio</t>
  </si>
  <si>
    <t>Helioderm Facial Fps70 Sem Cor</t>
  </si>
  <si>
    <t>Helioderm Fps 30 C&amp;R 1X120</t>
  </si>
  <si>
    <t>Helioderm Fps 30 C&amp;R 1X200</t>
  </si>
  <si>
    <t>Helioderm Fps70 Aerossol 200Ml</t>
  </si>
  <si>
    <t>Helioderm Fps70 Facial Cor 5.0 50G</t>
  </si>
  <si>
    <t>Helioderm Fps70 Spray Adulto 200Ml</t>
  </si>
  <si>
    <t>Helioderm Fps70 Spray Babiesekids 200Ml</t>
  </si>
  <si>
    <t>Helioderm Kids Fps70 120Ml</t>
  </si>
  <si>
    <t>Helioderm Kit 2 Fps70 Corpo 200Ml 120Ml</t>
  </si>
  <si>
    <t>Helioderm Kit Familia Fps70 200Ml 120Ml</t>
  </si>
  <si>
    <t>Helioderm Kit Fps70 Cp Fc 200Ml 50G</t>
  </si>
  <si>
    <t>Helioderm Protetor Labial Fps30</t>
  </si>
  <si>
    <t>Helioderm Sunc Fps50 Corpo 1X200</t>
  </si>
  <si>
    <t>Helioderm Sunc Kids Fps50 1X120</t>
  </si>
  <si>
    <t>Helioderm Sunc. Prot. Facial Diario 1X50</t>
  </si>
  <si>
    <t>Helioderm Suncare Aloe Vera Gel 1X120</t>
  </si>
  <si>
    <t>Helioderm Suncare Fps 50 Corpo 1X120</t>
  </si>
  <si>
    <t>Helioderm Suncare Fps30 Spray 1X200</t>
  </si>
  <si>
    <t>Helioderm Suncare Fps50 Spray 1X200</t>
  </si>
  <si>
    <t>Helioderm Suncare Kids Color 1X120</t>
  </si>
  <si>
    <t>Kit Economico Helioderm 2 Fps 30 C&amp;R</t>
  </si>
  <si>
    <t>Kit Helioderm Econom Fps50 200Ml + 120Ml</t>
  </si>
  <si>
    <t>Kit Helioderm Fac Fps50 Cor Sabonete</t>
  </si>
  <si>
    <t>Kit Helioderm Facial Fps50 Sabonete</t>
  </si>
  <si>
    <t>Kit Helioderm Familia</t>
  </si>
  <si>
    <t>Kit Helioderm Familia Fps50 + Fps50 Kids</t>
  </si>
  <si>
    <t>Kit Helioderm Fps30 C&amp;R + Facial Fps50</t>
  </si>
  <si>
    <t>Kit Helioderm Fps50 Corpo E Facial Fps50</t>
  </si>
  <si>
    <t>Hepatilon Capsulas 2X10</t>
  </si>
  <si>
    <t>Hepatilon</t>
  </si>
  <si>
    <t>Hepatilon Gotas 1X30</t>
  </si>
  <si>
    <t>Hepatilon Liquido 1X150</t>
  </si>
  <si>
    <t>Hepatilon Liquido Flaconetes 1X12</t>
  </si>
  <si>
    <t>Hepatilon Liquido Flaconetes 1X60</t>
  </si>
  <si>
    <t>OTC004-Hepatilon caixa 4 flaconetes - boldoCaixa com 4 flaconetes</t>
  </si>
  <si>
    <t>OTC004</t>
  </si>
  <si>
    <t>Imunotrat Pelargonium Sol 1X20Ml</t>
  </si>
  <si>
    <t>Imunotrat</t>
  </si>
  <si>
    <t>Lactocare Cp 2X15</t>
  </si>
  <si>
    <t>Lactocare</t>
  </si>
  <si>
    <t>Laxolact 1X120</t>
  </si>
  <si>
    <t>Laxolact</t>
  </si>
  <si>
    <t>Neoplexus Com Rev 2X10</t>
  </si>
  <si>
    <t>Neoplexus</t>
  </si>
  <si>
    <t>Neutrogerm Sabonete Barra 1X70</t>
  </si>
  <si>
    <t>Neutrogerm</t>
  </si>
  <si>
    <t>Neutrogerm Sabonete Liquido 150 Ml</t>
  </si>
  <si>
    <t>Nexrepel 1X200Ml</t>
  </si>
  <si>
    <t>Nexrepel</t>
  </si>
  <si>
    <t>Nexrepel Locao 1X100Ml</t>
  </si>
  <si>
    <t>Nexrepel Locao 1X200Ml</t>
  </si>
  <si>
    <t>Nexrepel Locao Kids 1X200Ml</t>
  </si>
  <si>
    <t>Nexrepel Max Gel 1X100G</t>
  </si>
  <si>
    <t>Nexrepel Max Gel Baby 1X100G</t>
  </si>
  <si>
    <t>Nexrepel Max Spray 1X100Ml</t>
  </si>
  <si>
    <t>Nexrepel Max Spray Infantil 1X100Ml</t>
  </si>
  <si>
    <t>Nexrepel Spray 1X115Ml</t>
  </si>
  <si>
    <t>Nexrepel Spray 1X200Ml</t>
  </si>
  <si>
    <t>Optocare Luteina Plus 2X15</t>
  </si>
  <si>
    <t>Optocare</t>
  </si>
  <si>
    <t>Optocare Vitaminas</t>
  </si>
  <si>
    <t>Oftalmológicos</t>
  </si>
  <si>
    <t>Optocare Ul Col 1X10</t>
  </si>
  <si>
    <t>Optocare UL</t>
  </si>
  <si>
    <t>Optocare Ul Col 1X15</t>
  </si>
  <si>
    <t>Osso Pro 2X15 Cp</t>
  </si>
  <si>
    <t>Osso-Pro</t>
  </si>
  <si>
    <t>Osso-Pro K2 1X30</t>
  </si>
  <si>
    <t>Osso-Pro Km 1X30</t>
  </si>
  <si>
    <t>Peitoral Martel Solucao Oral 1X150 Ml</t>
  </si>
  <si>
    <t>Peitoral</t>
  </si>
  <si>
    <t>Dental Fresh Periotrat Menta 1X250</t>
  </si>
  <si>
    <t>Periotrat</t>
  </si>
  <si>
    <t>Dental Fresh Periotrat S Alc Menta Forte</t>
  </si>
  <si>
    <t>Dental Fresh Periotrat Sem Alcool 1X250</t>
  </si>
  <si>
    <t>HBN003 - Periotrat aftasMenta 50ml</t>
  </si>
  <si>
    <t>HBN003</t>
  </si>
  <si>
    <t>Periotrat Aftas</t>
  </si>
  <si>
    <t>Periotrat Clorex 0 06 Sol Bucal 550Ml</t>
  </si>
  <si>
    <t>Periotrat Clorex 0,12 Sol Bucal 550Ml</t>
  </si>
  <si>
    <t>Proctocaps 2X10 Cap</t>
  </si>
  <si>
    <t>Proctocaps</t>
  </si>
  <si>
    <t>Proctosan Care 1X100</t>
  </si>
  <si>
    <t>Proctosan</t>
  </si>
  <si>
    <t>Proctosan Care Lencos 1X16</t>
  </si>
  <si>
    <t>Proctosan Pomada 1X20G</t>
  </si>
  <si>
    <t>Proctosan Pomada 1X20G C6 Aplicadores</t>
  </si>
  <si>
    <t>Proctosan Pomada 1X30G C15 Aplicadores</t>
  </si>
  <si>
    <t>Proctosan Pomada 6X3G C6 Aplicadores</t>
  </si>
  <si>
    <t>Protefigan Sm Comprimido 100Mg 2X15</t>
  </si>
  <si>
    <t>Protefigan</t>
  </si>
  <si>
    <t>Protefigan Sm Comprimido 200 Mg 6X10</t>
  </si>
  <si>
    <t>Protefigan Sm Comprimido 200Mg 2X10</t>
  </si>
  <si>
    <t>Rapilax Gotas 1X30</t>
  </si>
  <si>
    <t>Rapilax</t>
  </si>
  <si>
    <t>Relaflex Ice</t>
  </si>
  <si>
    <t>Relaflex Sport Aerossol</t>
  </si>
  <si>
    <t>HM200 - Resfenol Ped (Benegrip Multi)SOL ORAL 240ML</t>
  </si>
  <si>
    <t>HM200_1</t>
  </si>
  <si>
    <t>Resfenol</t>
  </si>
  <si>
    <t>Resfenol Ped</t>
  </si>
  <si>
    <t>HM292 - Resfefito (Clone Hedera para Resfenol) - Xarope 100ml</t>
  </si>
  <si>
    <t>Resfefito</t>
  </si>
  <si>
    <t>OTC003 - Resfenol Spray50mL Menta</t>
  </si>
  <si>
    <t>OTC003_1</t>
  </si>
  <si>
    <t>Resfenol Spray</t>
  </si>
  <si>
    <t>OTC009 - Resfenol1x10 Comprimidos</t>
  </si>
  <si>
    <t>OTC009</t>
  </si>
  <si>
    <t>Resfenol Caps Blister 2X10</t>
  </si>
  <si>
    <t>Resfenol Capsulas 12X10</t>
  </si>
  <si>
    <t>Resfenol Capsulas 48X5</t>
  </si>
  <si>
    <t>Resfenol Liq 1X100</t>
  </si>
  <si>
    <t>Resfenol Po Para Solucao Oral 1X5</t>
  </si>
  <si>
    <t>Resfenol Pó</t>
  </si>
  <si>
    <t>Resfenol Po Para Solucao Oral 1X50</t>
  </si>
  <si>
    <t>Resfenol Thermus Sache</t>
  </si>
  <si>
    <t>Rinosoft Baby 1X100 Ml</t>
  </si>
  <si>
    <t>Rinosoft</t>
  </si>
  <si>
    <t>Rinosoft Solucao Spray Nasal 1X50Ml</t>
  </si>
  <si>
    <t>Gripes Resfriados E Sistema Respiratório</t>
  </si>
  <si>
    <t>Rinosoft Spray Nasal 1X100 Ml</t>
  </si>
  <si>
    <t>Ritmoneuran Rtm Caps 2X10</t>
  </si>
  <si>
    <t>Ritmoneuran</t>
  </si>
  <si>
    <t>Ansiedade e Insônia</t>
  </si>
  <si>
    <t>Ritmoneuran Rtm Caps 4X10</t>
  </si>
  <si>
    <t>Ritmoneuran Rtm Com Rev 600Mg 2X10</t>
  </si>
  <si>
    <t>Ritmoneuran Rtm Solucao Oral 1X100 Ml</t>
  </si>
  <si>
    <t>Ritmoneuran Rtm Solucao Oral 1X24</t>
  </si>
  <si>
    <t>KL134 - Sanasar D - Emulsão Capilar 100ml</t>
  </si>
  <si>
    <t>Sanasar</t>
  </si>
  <si>
    <t>Sanasar Locao 250 Mg Ml 1X100</t>
  </si>
  <si>
    <t>Sanasar Sabonete 100 Mg G 1X60</t>
  </si>
  <si>
    <t>Sanilin Spray Mel E Limao 1X50</t>
  </si>
  <si>
    <t>Sanilin</t>
  </si>
  <si>
    <t>Sanilin Spray Menta 1X50</t>
  </si>
  <si>
    <t>Seneflora 2X10 Comprimido</t>
  </si>
  <si>
    <t>Seneflora</t>
  </si>
  <si>
    <t>Simeticon 1X12 Cap</t>
  </si>
  <si>
    <t>Simeticon</t>
  </si>
  <si>
    <t>Simeticon Gotas 1X15 Ml</t>
  </si>
  <si>
    <t>Sonotabs Comprimido</t>
  </si>
  <si>
    <t>Sonotabs</t>
  </si>
  <si>
    <t>Stilgrip Sache 1X5</t>
  </si>
  <si>
    <t>Stilgrip</t>
  </si>
  <si>
    <t>Stilgrip Sache 1X50</t>
  </si>
  <si>
    <t>Supra D Gotas 200 Ui Limao 1X20</t>
  </si>
  <si>
    <t>Supra D</t>
  </si>
  <si>
    <t>Supra D Gotas 200 Ui Limao 1X30</t>
  </si>
  <si>
    <t>Supra D Max Gotas 2000 Ui 1X10</t>
  </si>
  <si>
    <t>Supra D Max Gotas 500 Ui 1X10</t>
  </si>
  <si>
    <t>Supravit Gestacaps 2X15</t>
  </si>
  <si>
    <t>Supravit</t>
  </si>
  <si>
    <t>Supravit Gestacaps</t>
  </si>
  <si>
    <t>Supravit Memoria 1X60</t>
  </si>
  <si>
    <t>Supravit Memória</t>
  </si>
  <si>
    <t>HBN017 - Supra C Kids MiniSache 10 unidades (Laranja, morango e uva)</t>
  </si>
  <si>
    <t>HBN017</t>
  </si>
  <si>
    <t>Supravit C Kids</t>
  </si>
  <si>
    <t>Supravit C Kids Sabor Laranja 1X30</t>
  </si>
  <si>
    <t>Supravit C Kids Sabor Morango 1X30</t>
  </si>
  <si>
    <t>Supravit C Kids Sabor Uva 1X30</t>
  </si>
  <si>
    <t>Supravit C Kids Tripla Ação 1X30</t>
  </si>
  <si>
    <t>Supravit Nutri Baunilha 1X400G</t>
  </si>
  <si>
    <t>Supravit Nutri</t>
  </si>
  <si>
    <t>Supravit Nutri Baunilha 1X800G</t>
  </si>
  <si>
    <t>Supravit Nutri Cappuccino 1X400G</t>
  </si>
  <si>
    <t>Supravit Nutri Chocolate 1X400G</t>
  </si>
  <si>
    <t>Supravit Nutri Diabetics Baunilha 1X400G</t>
  </si>
  <si>
    <t>Supravit Nutri Diabetics</t>
  </si>
  <si>
    <t>Supravit Nutri Morango 1X400G</t>
  </si>
  <si>
    <t>Supravit Nutri Sem Sabor 1X400G</t>
  </si>
  <si>
    <t>Supravit Nutri Sem Sabor 1X800G</t>
  </si>
  <si>
    <t>Tamareti 1X150G</t>
  </si>
  <si>
    <t>Tamareti</t>
  </si>
  <si>
    <t>Ultrasept Sensitive 1X80Ml</t>
  </si>
  <si>
    <t>Ultrasept</t>
  </si>
  <si>
    <t>Ultrasept Sensitive 360Ml 120Ml</t>
  </si>
  <si>
    <t>Unha Sana 1X2,5Ml</t>
  </si>
  <si>
    <t>Unha Sana</t>
  </si>
  <si>
    <t>Vagisoft 1X30G</t>
  </si>
  <si>
    <t>Vagisoft</t>
  </si>
  <si>
    <t>Varicaps Ah Caps 3X10</t>
  </si>
  <si>
    <t>Varicaps</t>
  </si>
  <si>
    <t>Variplex Creme 1X300 G</t>
  </si>
  <si>
    <t>Variplex</t>
  </si>
  <si>
    <t>Vitamax Mb6 Cp 3X10</t>
  </si>
  <si>
    <t>Vitamax</t>
  </si>
  <si>
    <t>HM220 - Zalertym (Allegra comprimidos)120mg</t>
  </si>
  <si>
    <t>HM220_1</t>
  </si>
  <si>
    <t>Zalertym Comprimidos</t>
  </si>
  <si>
    <t>Alergias</t>
  </si>
  <si>
    <t>HM220 - Zalertym (Allegra comprimidos)180mg</t>
  </si>
  <si>
    <t>HM220_2</t>
  </si>
  <si>
    <t>Zalerv Com Rev 5Mg 1X10</t>
  </si>
  <si>
    <t>Zalerv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</si>
</sst>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\-#,##0;\-"/>
    <numFmt numFmtId="165" formatCode="#,##0.00;\-#,##0.00;\-"/>
    <numFmt numFmtId="166" formatCode="#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 tint="-0.499984740745262"/>
      <name val="Ofelia Text"/>
      <family val="2"/>
    </font>
    <font>
      <b/>
      <sz val="9"/>
      <color theme="1" tint="4.9989318521683403E-2"/>
      <name val="Ofelia Text"/>
      <family val="2"/>
    </font>
    <font>
      <sz val="9"/>
      <color theme="0"/>
      <name val="Ofelia Text"/>
      <family val="2"/>
    </font>
    <font>
      <sz val="9"/>
      <color theme="0" tint="-4.9989318521683403E-2"/>
      <name val="Ofelia Text"/>
      <family val="2"/>
    </font>
    <font>
      <sz val="9"/>
      <color theme="4" tint="0.59999389629810485"/>
      <name val="Ofelia Text"/>
      <family val="2"/>
    </font>
    <font>
      <b/>
      <sz val="9"/>
      <color theme="0"/>
      <name val="Ofelia Text"/>
      <family val="2"/>
    </font>
    <font>
      <b/>
      <sz val="9"/>
      <color theme="0" tint="-4.9989318521683403E-2"/>
      <name val="Ofelia Text"/>
      <family val="2"/>
    </font>
    <font>
      <b/>
      <sz val="9"/>
      <color theme="4" tint="0.59999389629810485"/>
      <name val="Ofelia Text"/>
      <family val="2"/>
    </font>
    <font>
      <b/>
      <sz val="9"/>
      <color theme="1"/>
      <name val="Ofelia Text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/>
    </xf>
    <xf numFmtId="17" fontId="7" fillId="2" borderId="0" xfId="0" applyNumberFormat="1" applyFont="1" applyFill="1" applyAlignment="1">
      <alignment horizontal="center" vertical="center"/>
    </xf>
    <xf numFmtId="166" fontId="7" fillId="2" borderId="0" xfId="1" applyNumberFormat="1" applyFont="1" applyFill="1" applyAlignment="1">
      <alignment horizontal="center" vertical="center"/>
    </xf>
    <xf numFmtId="17" fontId="8" fillId="3" borderId="0" xfId="0" applyNumberFormat="1" applyFont="1" applyFill="1" applyAlignment="1">
      <alignment horizontal="center" vertical="center"/>
    </xf>
    <xf numFmtId="166" fontId="8" fillId="3" borderId="0" xfId="1" applyNumberFormat="1" applyFont="1" applyFill="1" applyAlignment="1">
      <alignment horizontal="center" vertical="center"/>
    </xf>
    <xf numFmtId="17" fontId="7" fillId="4" borderId="0" xfId="0" applyNumberFormat="1" applyFont="1" applyFill="1" applyAlignment="1">
      <alignment horizontal="center" vertical="center"/>
    </xf>
    <xf numFmtId="166" fontId="7" fillId="4" borderId="0" xfId="1" applyNumberFormat="1" applyFont="1" applyFill="1" applyAlignment="1">
      <alignment horizontal="center" vertical="center"/>
    </xf>
    <xf numFmtId="17" fontId="8" fillId="5" borderId="0" xfId="0" applyNumberFormat="1" applyFont="1" applyFill="1" applyAlignment="1">
      <alignment horizontal="center" vertical="center"/>
    </xf>
    <xf numFmtId="166" fontId="8" fillId="5" borderId="0" xfId="1" applyNumberFormat="1" applyFont="1" applyFill="1" applyAlignment="1">
      <alignment horizontal="center" vertical="center"/>
    </xf>
    <xf numFmtId="17" fontId="7" fillId="5" borderId="0" xfId="0" applyNumberFormat="1" applyFont="1" applyFill="1" applyAlignment="1">
      <alignment horizontal="center" vertical="center"/>
    </xf>
    <xf numFmtId="166" fontId="7" fillId="5" borderId="0" xfId="1" applyNumberFormat="1" applyFont="1" applyFill="1" applyAlignment="1">
      <alignment horizontal="center" vertical="center"/>
    </xf>
    <xf numFmtId="17" fontId="9" fillId="5" borderId="0" xfId="0" applyNumberFormat="1" applyFont="1" applyFill="1" applyAlignment="1">
      <alignment horizontal="center" vertical="center"/>
    </xf>
    <xf numFmtId="166" fontId="9" fillId="5" borderId="0" xfId="1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10" fillId="8" borderId="0" xfId="0" applyNumberFormat="1" applyFont="1" applyFill="1" applyAlignment="1">
      <alignment horizontal="center"/>
    </xf>
    <xf numFmtId="9" fontId="0" fillId="0" borderId="0" xfId="0" applyNumberFormat="1"/>
    <xf numFmtId="165" fontId="0" fillId="0" borderId="0" xfId="0" applyNumberFormat="1" applyAlignment="1">
      <alignment horizontal="center"/>
    </xf>
    <xf numFmtId="165" fontId="10" fillId="8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BB80-22A8-4326-BEA5-795A4A011B2E}">
  <dimension ref="B1:BM237"/>
  <sheetViews>
    <sheetView tabSelected="1" workbookViewId="0">
      <selection activeCell="L11" sqref="L11"/>
    </sheetView>
  </sheetViews>
  <sheetFormatPr defaultRowHeight="14.5" outlineLevelCol="1" x14ac:dyDescent="0.35"/>
  <cols>
    <col min="1" max="1" width="2.81640625" customWidth="1"/>
    <col min="2" max="2" width="66" bestFit="1" customWidth="1"/>
    <col min="3" max="3" width="12.36328125" bestFit="1" customWidth="1"/>
    <col min="4" max="4" width="15" bestFit="1" customWidth="1"/>
    <col min="5" max="5" width="19.1796875" hidden="1" customWidth="1" outlineLevel="1"/>
    <col min="6" max="6" width="38" hidden="1" customWidth="1" outlineLevel="1"/>
    <col min="7" max="7" width="23" hidden="1" customWidth="1" outlineLevel="1"/>
    <col min="8" max="8" width="19.08984375" hidden="1" customWidth="1" outlineLevel="1"/>
    <col min="9" max="9" width="2.81640625" customWidth="1" collapsed="1"/>
    <col min="10" max="27" width="13.7265625" customWidth="1"/>
    <col min="28" max="28" width="2.81640625" customWidth="1" collapsed="1"/>
    <col min="29" max="46" width="13.7265625" customWidth="1"/>
    <col min="47" max="64" width="13.7265625" hidden="1" customWidth="1" outlineLevel="1"/>
    <col min="65" max="65" width="8.7265625" collapsed="1"/>
  </cols>
  <sheetData>
    <row r="1" spans="2:64" ht="15" x14ac:dyDescent="0.4">
      <c r="C1" s="1"/>
      <c r="D1" s="2" t="s">
        <v>0</v>
      </c>
      <c r="J1" s="2">
        <f t="shared" ref="J1:AA1" si="0">SUM(J5:J236)</f>
        <v>3486353.8917917712</v>
      </c>
      <c r="K1" s="2">
        <f t="shared" si="0"/>
        <v>2700261.4815264433</v>
      </c>
      <c r="L1" s="2">
        <f t="shared" si="0"/>
        <v>3570214.3683490795</v>
      </c>
      <c r="M1" s="2">
        <f t="shared" si="0"/>
        <v>2595594.5541042555</v>
      </c>
      <c r="N1" s="2">
        <f t="shared" si="0"/>
        <v>12352424.295771554</v>
      </c>
      <c r="O1" s="2">
        <f t="shared" si="0"/>
        <v>2866867.4420459415</v>
      </c>
      <c r="P1" s="2">
        <f t="shared" si="0"/>
        <v>3887438.8125402634</v>
      </c>
      <c r="Q1" s="2">
        <f t="shared" si="0"/>
        <v>6725798.7653549276</v>
      </c>
      <c r="R1" s="2">
        <f t="shared" si="0"/>
        <v>3280009.6072676829</v>
      </c>
      <c r="S1" s="2">
        <f t="shared" si="0"/>
        <v>3773018.4956927132</v>
      </c>
      <c r="T1" s="2">
        <f t="shared" si="0"/>
        <v>3728929.4152747323</v>
      </c>
      <c r="U1" s="2">
        <f t="shared" si="0"/>
        <v>3308908.5287873661</v>
      </c>
      <c r="V1" s="2">
        <f t="shared" si="0"/>
        <v>3161493.9181695366</v>
      </c>
      <c r="W1" s="2">
        <f t="shared" si="0"/>
        <v>3432457.4547346458</v>
      </c>
      <c r="X1" s="2">
        <f t="shared" si="0"/>
        <v>2940557.5264247274</v>
      </c>
      <c r="Y1" s="2">
        <f t="shared" si="0"/>
        <v>3551651.9583336427</v>
      </c>
      <c r="Z1" s="2">
        <f t="shared" si="0"/>
        <v>2509253.9996361504</v>
      </c>
      <c r="AA1" s="2">
        <f t="shared" si="0"/>
        <v>43166385.92426233</v>
      </c>
      <c r="AC1" s="2">
        <f t="shared" ref="AC1:AT1" si="1">SUM(AC5:AC236)</f>
        <v>52869332.42854628</v>
      </c>
      <c r="AD1" s="2">
        <f t="shared" si="1"/>
        <v>38597839.354139172</v>
      </c>
      <c r="AE1" s="2">
        <f t="shared" si="1"/>
        <v>52115469.440051928</v>
      </c>
      <c r="AF1" s="2">
        <f t="shared" si="1"/>
        <v>38628452.910780691</v>
      </c>
      <c r="AG1" s="2">
        <f t="shared" si="1"/>
        <v>182211094.13351813</v>
      </c>
      <c r="AH1" s="2">
        <f t="shared" si="1"/>
        <v>38858971.48223827</v>
      </c>
      <c r="AI1" s="2">
        <f t="shared" si="1"/>
        <v>48420630.174490981</v>
      </c>
      <c r="AJ1" s="2">
        <f t="shared" si="1"/>
        <v>79402729.704855666</v>
      </c>
      <c r="AK1" s="2">
        <f t="shared" si="1"/>
        <v>43378290.056805097</v>
      </c>
      <c r="AL1" s="2">
        <f t="shared" si="1"/>
        <v>47543555.812298849</v>
      </c>
      <c r="AM1" s="2">
        <f t="shared" si="1"/>
        <v>47925298.615296118</v>
      </c>
      <c r="AN1" s="2">
        <f t="shared" si="1"/>
        <v>47607542.439615913</v>
      </c>
      <c r="AO1" s="2">
        <f t="shared" si="1"/>
        <v>51800430.379565574</v>
      </c>
      <c r="AP1" s="2">
        <f t="shared" si="1"/>
        <v>54921050.362376779</v>
      </c>
      <c r="AQ1" s="2">
        <f t="shared" si="1"/>
        <v>46051121.548519507</v>
      </c>
      <c r="AR1" s="2">
        <f t="shared" si="1"/>
        <v>55498209.405976705</v>
      </c>
      <c r="AS1" s="2">
        <f t="shared" si="1"/>
        <v>40298578.775785267</v>
      </c>
      <c r="AT1" s="2">
        <f t="shared" si="1"/>
        <v>601706408.7578249</v>
      </c>
      <c r="AU1" s="3">
        <f t="shared" ref="AU1:BJ2" si="2">IFERROR(AC1/J1,0)</f>
        <v>15.164648819220902</v>
      </c>
      <c r="AV1" s="3">
        <f t="shared" si="2"/>
        <v>14.294111743696771</v>
      </c>
      <c r="AW1" s="3">
        <f t="shared" si="2"/>
        <v>14.597294185489176</v>
      </c>
      <c r="AX1" s="3">
        <f t="shared" si="2"/>
        <v>14.882313899796049</v>
      </c>
      <c r="AY1" s="3">
        <f t="shared" si="2"/>
        <v>14.751039129694735</v>
      </c>
      <c r="AZ1" s="3">
        <f t="shared" si="2"/>
        <v>13.554505838786374</v>
      </c>
      <c r="BA1" s="3">
        <f t="shared" si="2"/>
        <v>12.455663615410145</v>
      </c>
      <c r="BB1" s="3">
        <f t="shared" si="2"/>
        <v>11.805695126334262</v>
      </c>
      <c r="BC1" s="3">
        <f t="shared" si="2"/>
        <v>13.225049695186755</v>
      </c>
      <c r="BD1" s="3">
        <f t="shared" si="2"/>
        <v>12.600933673284317</v>
      </c>
      <c r="BE1" s="3">
        <f t="shared" si="2"/>
        <v>12.852294392857306</v>
      </c>
      <c r="BF1" s="3">
        <f t="shared" si="2"/>
        <v>14.387687669644622</v>
      </c>
      <c r="BG1" s="3">
        <f t="shared" si="2"/>
        <v>16.384795201363961</v>
      </c>
      <c r="BH1" s="3">
        <f t="shared" si="2"/>
        <v>16.000504328646539</v>
      </c>
      <c r="BI1" s="3">
        <f t="shared" si="2"/>
        <v>15.660676975264176</v>
      </c>
      <c r="BJ1" s="3">
        <f t="shared" si="2"/>
        <v>15.62602700294295</v>
      </c>
      <c r="BK1" s="3">
        <f t="shared" ref="BE1:BL2" si="3">IFERROR(AS1/Z1,0)</f>
        <v>16.059983876334833</v>
      </c>
      <c r="BL1" s="3">
        <f t="shared" si="3"/>
        <v>13.939235260824246</v>
      </c>
    </row>
    <row r="2" spans="2:64" ht="15" x14ac:dyDescent="0.4">
      <c r="C2" s="1"/>
      <c r="D2" s="4" t="s">
        <v>1</v>
      </c>
      <c r="J2" s="4">
        <f t="shared" ref="J2:AA2" si="4">SUBTOTAL(9,J5:J236)</f>
        <v>3486353.8917917712</v>
      </c>
      <c r="K2" s="4">
        <f t="shared" si="4"/>
        <v>2700261.4815264433</v>
      </c>
      <c r="L2" s="4">
        <f t="shared" si="4"/>
        <v>3570214.3683490795</v>
      </c>
      <c r="M2" s="4">
        <f t="shared" si="4"/>
        <v>2595594.5541042555</v>
      </c>
      <c r="N2" s="4">
        <f t="shared" si="4"/>
        <v>12352424.295771554</v>
      </c>
      <c r="O2" s="4">
        <f t="shared" si="4"/>
        <v>2866867.4420459415</v>
      </c>
      <c r="P2" s="4">
        <f t="shared" si="4"/>
        <v>3887438.8125402634</v>
      </c>
      <c r="Q2" s="4">
        <f t="shared" si="4"/>
        <v>6725798.7653549276</v>
      </c>
      <c r="R2" s="4">
        <f t="shared" si="4"/>
        <v>3280009.6072676829</v>
      </c>
      <c r="S2" s="4">
        <f t="shared" si="4"/>
        <v>3773018.4956927132</v>
      </c>
      <c r="T2" s="4">
        <f t="shared" si="4"/>
        <v>3728929.4152747323</v>
      </c>
      <c r="U2" s="4">
        <f t="shared" si="4"/>
        <v>3308908.5287873661</v>
      </c>
      <c r="V2" s="4">
        <f t="shared" si="4"/>
        <v>3161493.9181695366</v>
      </c>
      <c r="W2" s="4">
        <f t="shared" si="4"/>
        <v>3432457.4547346458</v>
      </c>
      <c r="X2" s="4">
        <f t="shared" si="4"/>
        <v>2940557.5264247274</v>
      </c>
      <c r="Y2" s="4">
        <f t="shared" si="4"/>
        <v>3551651.9583336427</v>
      </c>
      <c r="Z2" s="4">
        <f t="shared" si="4"/>
        <v>2509253.9996361504</v>
      </c>
      <c r="AA2" s="4">
        <f t="shared" si="4"/>
        <v>43166385.92426233</v>
      </c>
      <c r="AC2" s="4">
        <f t="shared" ref="AC2:AT2" si="5">SUBTOTAL(9,AC5:AC236)</f>
        <v>52869332.42854628</v>
      </c>
      <c r="AD2" s="4">
        <f t="shared" si="5"/>
        <v>38597839.354139172</v>
      </c>
      <c r="AE2" s="4">
        <f t="shared" si="5"/>
        <v>52115469.440051928</v>
      </c>
      <c r="AF2" s="4">
        <f t="shared" si="5"/>
        <v>38628452.910780691</v>
      </c>
      <c r="AG2" s="4">
        <f t="shared" si="5"/>
        <v>182211094.13351813</v>
      </c>
      <c r="AH2" s="4">
        <f t="shared" si="5"/>
        <v>38858971.48223827</v>
      </c>
      <c r="AI2" s="4">
        <f t="shared" si="5"/>
        <v>48420630.174490981</v>
      </c>
      <c r="AJ2" s="4">
        <f t="shared" si="5"/>
        <v>79402729.704855666</v>
      </c>
      <c r="AK2" s="4">
        <f t="shared" si="5"/>
        <v>43378290.056805097</v>
      </c>
      <c r="AL2" s="4">
        <f t="shared" si="5"/>
        <v>47543555.812298849</v>
      </c>
      <c r="AM2" s="4">
        <f t="shared" si="5"/>
        <v>47925298.615296118</v>
      </c>
      <c r="AN2" s="4">
        <f t="shared" si="5"/>
        <v>47607542.439615913</v>
      </c>
      <c r="AO2" s="4">
        <f t="shared" si="5"/>
        <v>51800430.379565574</v>
      </c>
      <c r="AP2" s="4">
        <f t="shared" si="5"/>
        <v>54921050.362376779</v>
      </c>
      <c r="AQ2" s="4">
        <f t="shared" si="5"/>
        <v>46051121.548519507</v>
      </c>
      <c r="AR2" s="4">
        <f t="shared" si="5"/>
        <v>55498209.405976705</v>
      </c>
      <c r="AS2" s="4">
        <f t="shared" si="5"/>
        <v>40298578.775785267</v>
      </c>
      <c r="AT2" s="4">
        <f t="shared" si="5"/>
        <v>601706408.7578249</v>
      </c>
      <c r="AU2" s="5">
        <f t="shared" si="2"/>
        <v>15.164648819220902</v>
      </c>
      <c r="AV2" s="5">
        <f t="shared" si="2"/>
        <v>14.294111743696771</v>
      </c>
      <c r="AW2" s="5">
        <f t="shared" si="2"/>
        <v>14.597294185489176</v>
      </c>
      <c r="AX2" s="5">
        <f t="shared" si="2"/>
        <v>14.882313899796049</v>
      </c>
      <c r="AY2" s="5">
        <f t="shared" si="2"/>
        <v>14.751039129694735</v>
      </c>
      <c r="AZ2" s="5">
        <f t="shared" si="2"/>
        <v>13.554505838786374</v>
      </c>
      <c r="BA2" s="5">
        <f t="shared" si="2"/>
        <v>12.455663615410145</v>
      </c>
      <c r="BB2" s="5">
        <f t="shared" si="2"/>
        <v>11.805695126334262</v>
      </c>
      <c r="BC2" s="5">
        <f t="shared" si="2"/>
        <v>13.225049695186755</v>
      </c>
      <c r="BD2" s="5">
        <f t="shared" si="2"/>
        <v>12.600933673284317</v>
      </c>
      <c r="BE2" s="5">
        <f t="shared" si="3"/>
        <v>12.852294392857306</v>
      </c>
      <c r="BF2" s="5">
        <f t="shared" si="3"/>
        <v>14.387687669644622</v>
      </c>
      <c r="BG2" s="5">
        <f t="shared" si="3"/>
        <v>16.384795201363961</v>
      </c>
      <c r="BH2" s="5">
        <f t="shared" si="3"/>
        <v>16.000504328646539</v>
      </c>
      <c r="BI2" s="5">
        <f t="shared" si="3"/>
        <v>15.660676975264176</v>
      </c>
      <c r="BJ2" s="5">
        <f t="shared" si="3"/>
        <v>15.62602700294295</v>
      </c>
      <c r="BK2" s="5">
        <f t="shared" si="3"/>
        <v>16.059983876334833</v>
      </c>
      <c r="BL2" s="5">
        <f t="shared" si="3"/>
        <v>13.939235260824246</v>
      </c>
    </row>
    <row r="3" spans="2:64" s="6" customFormat="1" ht="30" customHeight="1" x14ac:dyDescent="0.35">
      <c r="J3" s="7" t="s">
        <v>2</v>
      </c>
      <c r="K3" s="7" t="s">
        <v>2</v>
      </c>
      <c r="L3" s="7" t="s">
        <v>2</v>
      </c>
      <c r="M3" s="7" t="s">
        <v>2</v>
      </c>
      <c r="N3" s="7" t="s">
        <v>3</v>
      </c>
      <c r="O3" s="8" t="s">
        <v>2</v>
      </c>
      <c r="P3" s="8" t="s">
        <v>2</v>
      </c>
      <c r="Q3" s="8" t="s">
        <v>2</v>
      </c>
      <c r="R3" s="8" t="s">
        <v>2</v>
      </c>
      <c r="S3" s="8" t="s">
        <v>2</v>
      </c>
      <c r="T3" s="8" t="s">
        <v>2</v>
      </c>
      <c r="U3" s="8" t="s">
        <v>2</v>
      </c>
      <c r="V3" s="8" t="s">
        <v>2</v>
      </c>
      <c r="W3" s="8" t="s">
        <v>2</v>
      </c>
      <c r="X3" s="8" t="s">
        <v>2</v>
      </c>
      <c r="Y3" s="8" t="s">
        <v>2</v>
      </c>
      <c r="Z3" s="8" t="s">
        <v>2</v>
      </c>
      <c r="AA3" s="8" t="s">
        <v>2</v>
      </c>
      <c r="AC3" s="9" t="s">
        <v>4</v>
      </c>
      <c r="AD3" s="9" t="s">
        <v>4</v>
      </c>
      <c r="AE3" s="9" t="s">
        <v>4</v>
      </c>
      <c r="AF3" s="9" t="s">
        <v>4</v>
      </c>
      <c r="AG3" s="9" t="s">
        <v>5</v>
      </c>
      <c r="AH3" s="10" t="s">
        <v>4</v>
      </c>
      <c r="AI3" s="10" t="s">
        <v>4</v>
      </c>
      <c r="AJ3" s="10" t="s">
        <v>4</v>
      </c>
      <c r="AK3" s="10" t="s">
        <v>4</v>
      </c>
      <c r="AL3" s="10" t="s">
        <v>4</v>
      </c>
      <c r="AM3" s="10" t="s">
        <v>4</v>
      </c>
      <c r="AN3" s="10" t="s">
        <v>4</v>
      </c>
      <c r="AO3" s="10" t="s">
        <v>4</v>
      </c>
      <c r="AP3" s="10" t="s">
        <v>4</v>
      </c>
      <c r="AQ3" s="10" t="s">
        <v>4</v>
      </c>
      <c r="AR3" s="10" t="s">
        <v>4</v>
      </c>
      <c r="AS3" s="10" t="s">
        <v>4</v>
      </c>
      <c r="AT3" s="10" t="s">
        <v>4</v>
      </c>
      <c r="AU3" s="11" t="s">
        <v>6</v>
      </c>
      <c r="AV3" s="11" t="s">
        <v>6</v>
      </c>
      <c r="AW3" s="11" t="s">
        <v>6</v>
      </c>
      <c r="AX3" s="11" t="s">
        <v>6</v>
      </c>
      <c r="AY3" s="11" t="s">
        <v>6</v>
      </c>
      <c r="AZ3" s="12" t="s">
        <v>6</v>
      </c>
      <c r="BA3" s="12" t="s">
        <v>6</v>
      </c>
      <c r="BB3" s="12" t="s">
        <v>6</v>
      </c>
      <c r="BC3" s="12" t="s">
        <v>6</v>
      </c>
      <c r="BD3" s="12" t="s">
        <v>6</v>
      </c>
      <c r="BE3" s="12" t="s">
        <v>6</v>
      </c>
      <c r="BF3" s="12" t="s">
        <v>6</v>
      </c>
      <c r="BG3" s="12" t="s">
        <v>6</v>
      </c>
      <c r="BH3" s="12" t="s">
        <v>6</v>
      </c>
      <c r="BI3" s="12" t="s">
        <v>6</v>
      </c>
      <c r="BJ3" s="12" t="s">
        <v>6</v>
      </c>
      <c r="BK3" s="12" t="s">
        <v>6</v>
      </c>
      <c r="BL3" s="12" t="s">
        <v>6</v>
      </c>
    </row>
    <row r="4" spans="2:64" ht="15" x14ac:dyDescent="0.4"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6"/>
      <c r="J4" s="14" t="s">
        <v>14</v>
      </c>
      <c r="K4" s="14" t="s">
        <v>15</v>
      </c>
      <c r="L4" s="14" t="s">
        <v>16</v>
      </c>
      <c r="M4" s="14" t="s">
        <v>17</v>
      </c>
      <c r="N4" s="15">
        <v>2025</v>
      </c>
      <c r="O4" s="16" t="s">
        <v>18</v>
      </c>
      <c r="P4" s="16" t="s">
        <v>19</v>
      </c>
      <c r="Q4" s="16" t="s">
        <v>20</v>
      </c>
      <c r="R4" s="16" t="s">
        <v>21</v>
      </c>
      <c r="S4" s="16" t="s">
        <v>22</v>
      </c>
      <c r="T4" s="16" t="s">
        <v>23</v>
      </c>
      <c r="U4" s="16" t="s">
        <v>24</v>
      </c>
      <c r="V4" s="16" t="s">
        <v>25</v>
      </c>
      <c r="W4" s="16" t="s">
        <v>26</v>
      </c>
      <c r="X4" s="16" t="s">
        <v>27</v>
      </c>
      <c r="Y4" s="16" t="s">
        <v>28</v>
      </c>
      <c r="Z4" s="16" t="s">
        <v>29</v>
      </c>
      <c r="AA4" s="17">
        <v>2026</v>
      </c>
      <c r="AB4" s="6"/>
      <c r="AC4" s="18" t="s">
        <v>14</v>
      </c>
      <c r="AD4" s="18" t="s">
        <v>15</v>
      </c>
      <c r="AE4" s="18" t="s">
        <v>16</v>
      </c>
      <c r="AF4" s="18" t="s">
        <v>17</v>
      </c>
      <c r="AG4" s="19">
        <v>2025</v>
      </c>
      <c r="AH4" s="20" t="s">
        <v>18</v>
      </c>
      <c r="AI4" s="20" t="s">
        <v>19</v>
      </c>
      <c r="AJ4" s="20" t="s">
        <v>20</v>
      </c>
      <c r="AK4" s="20" t="s">
        <v>21</v>
      </c>
      <c r="AL4" s="20" t="s">
        <v>22</v>
      </c>
      <c r="AM4" s="20" t="s">
        <v>23</v>
      </c>
      <c r="AN4" s="20" t="s">
        <v>24</v>
      </c>
      <c r="AO4" s="20" t="s">
        <v>25</v>
      </c>
      <c r="AP4" s="20" t="s">
        <v>26</v>
      </c>
      <c r="AQ4" s="20" t="s">
        <v>27</v>
      </c>
      <c r="AR4" s="20" t="s">
        <v>28</v>
      </c>
      <c r="AS4" s="20" t="s">
        <v>29</v>
      </c>
      <c r="AT4" s="21">
        <v>2026</v>
      </c>
      <c r="AU4" s="22" t="s">
        <v>14</v>
      </c>
      <c r="AV4" s="22" t="s">
        <v>15</v>
      </c>
      <c r="AW4" s="22" t="s">
        <v>16</v>
      </c>
      <c r="AX4" s="22" t="s">
        <v>17</v>
      </c>
      <c r="AY4" s="23">
        <v>2025</v>
      </c>
      <c r="AZ4" s="24" t="s">
        <v>18</v>
      </c>
      <c r="BA4" s="24" t="s">
        <v>19</v>
      </c>
      <c r="BB4" s="24" t="s">
        <v>20</v>
      </c>
      <c r="BC4" s="24" t="s">
        <v>21</v>
      </c>
      <c r="BD4" s="24" t="s">
        <v>22</v>
      </c>
      <c r="BE4" s="24" t="s">
        <v>23</v>
      </c>
      <c r="BF4" s="24" t="s">
        <v>24</v>
      </c>
      <c r="BG4" s="24" t="s">
        <v>25</v>
      </c>
      <c r="BH4" s="24" t="s">
        <v>26</v>
      </c>
      <c r="BI4" s="24" t="s">
        <v>27</v>
      </c>
      <c r="BJ4" s="24" t="s">
        <v>28</v>
      </c>
      <c r="BK4" s="24" t="s">
        <v>29</v>
      </c>
      <c r="BL4" s="25">
        <v>2026</v>
      </c>
    </row>
    <row r="5" spans="2:64" ht="15" x14ac:dyDescent="0.4">
      <c r="B5" t="s">
        <v>30</v>
      </c>
      <c r="C5" s="26">
        <v>50270</v>
      </c>
      <c r="D5" t="s">
        <v>31</v>
      </c>
      <c r="E5" t="s">
        <v>31</v>
      </c>
      <c r="F5" t="s">
        <v>32</v>
      </c>
      <c r="G5" t="s">
        <v>33</v>
      </c>
      <c r="H5" t="s">
        <v>34</v>
      </c>
      <c r="J5" s="27">
        <v>18870.852907224482</v>
      </c>
      <c r="K5" s="27">
        <v>24831.060401247832</v>
      </c>
      <c r="L5" s="27">
        <v>38544.839356169701</v>
      </c>
      <c r="M5" s="27">
        <v>18501.07723924733</v>
      </c>
      <c r="N5" s="28">
        <f>SUM(J5:M5)</f>
        <v>100747.82990388935</v>
      </c>
      <c r="O5" s="27">
        <v>23759.724238175328</v>
      </c>
      <c r="P5" s="27">
        <v>32524.377905674486</v>
      </c>
      <c r="Q5" s="27">
        <v>47149.140447504564</v>
      </c>
      <c r="R5" s="27">
        <v>27951.46057599425</v>
      </c>
      <c r="S5" s="27">
        <v>23639.494358679854</v>
      </c>
      <c r="T5" s="27">
        <v>22245.664138302702</v>
      </c>
      <c r="U5" s="27">
        <v>14813.993917383859</v>
      </c>
      <c r="V5" s="27">
        <v>14307.982946289843</v>
      </c>
      <c r="W5" s="27">
        <v>20541.327185663307</v>
      </c>
      <c r="X5" s="27">
        <v>27029.14057868196</v>
      </c>
      <c r="Y5" s="27">
        <v>41956.882416840701</v>
      </c>
      <c r="Z5" s="27">
        <v>20138.818458656711</v>
      </c>
      <c r="AA5" s="28">
        <f>SUM(O5:Z5)</f>
        <v>316058.00716784759</v>
      </c>
      <c r="AB5" s="29"/>
      <c r="AC5" s="27">
        <v>103249.93634865983</v>
      </c>
      <c r="AD5" s="27">
        <v>135860.60039273827</v>
      </c>
      <c r="AE5" s="27">
        <v>210894.13550408426</v>
      </c>
      <c r="AF5" s="27">
        <v>101226.74670431112</v>
      </c>
      <c r="AG5" s="28">
        <f>SUM(AC5:AF5)</f>
        <v>551231.41894979344</v>
      </c>
      <c r="AH5" s="27">
        <v>131234.10390134662</v>
      </c>
      <c r="AI5" s="27">
        <v>179644.66029205639</v>
      </c>
      <c r="AJ5" s="27">
        <v>260422.8539995118</v>
      </c>
      <c r="AK5" s="27">
        <v>154386.67741482685</v>
      </c>
      <c r="AL5" s="27">
        <v>134516.59305483566</v>
      </c>
      <c r="AM5" s="27">
        <v>127786.2217759839</v>
      </c>
      <c r="AN5" s="27">
        <v>85096.327102029361</v>
      </c>
      <c r="AO5" s="27">
        <v>82189.63797055195</v>
      </c>
      <c r="AP5" s="27">
        <v>117995.96429223505</v>
      </c>
      <c r="AQ5" s="27">
        <v>155264.04295813612</v>
      </c>
      <c r="AR5" s="27">
        <v>241013.7745591423</v>
      </c>
      <c r="AS5" s="27">
        <v>115683.82521037792</v>
      </c>
      <c r="AT5" s="28">
        <f>SUM(AH5:AS5)</f>
        <v>1785234.6825310341</v>
      </c>
      <c r="AU5" s="30">
        <f>IFERROR(AC5/J5,0)</f>
        <v>5.4713974432566221</v>
      </c>
      <c r="AV5" s="30">
        <f t="shared" ref="AV5:BK68" si="6">IFERROR(AD5/K5,0)</f>
        <v>5.4713974432566275</v>
      </c>
      <c r="AW5" s="30">
        <f t="shared" si="6"/>
        <v>5.4713974432566257</v>
      </c>
      <c r="AX5" s="30">
        <f t="shared" si="6"/>
        <v>5.4713974432566221</v>
      </c>
      <c r="AY5" s="31">
        <f t="shared" si="6"/>
        <v>5.4713974432566239</v>
      </c>
      <c r="AZ5" s="30">
        <f t="shared" si="6"/>
        <v>5.5233849764337579</v>
      </c>
      <c r="BA5" s="30">
        <f t="shared" si="6"/>
        <v>5.5233849764337544</v>
      </c>
      <c r="BB5" s="30">
        <f t="shared" si="6"/>
        <v>5.5233849764337553</v>
      </c>
      <c r="BC5" s="30">
        <f t="shared" si="6"/>
        <v>5.5233849764337482</v>
      </c>
      <c r="BD5" s="30">
        <f t="shared" si="6"/>
        <v>5.6903329239546272</v>
      </c>
      <c r="BE5" s="30">
        <f t="shared" si="6"/>
        <v>5.7443203754911014</v>
      </c>
      <c r="BF5" s="30">
        <f t="shared" si="6"/>
        <v>5.7443203754911023</v>
      </c>
      <c r="BG5" s="30">
        <f t="shared" si="6"/>
        <v>5.7443203754911014</v>
      </c>
      <c r="BH5" s="30">
        <f t="shared" si="6"/>
        <v>5.7443203754911032</v>
      </c>
      <c r="BI5" s="30">
        <f t="shared" si="6"/>
        <v>5.7443203754911014</v>
      </c>
      <c r="BJ5" s="30">
        <f t="shared" si="6"/>
        <v>5.7443203754910996</v>
      </c>
      <c r="BK5" s="30">
        <f t="shared" si="6"/>
        <v>5.7443203754910952</v>
      </c>
      <c r="BL5" s="31">
        <f t="shared" ref="BL5:BL68" si="7">IFERROR(AT5/AA5,0)</f>
        <v>5.6484399763457249</v>
      </c>
    </row>
    <row r="6" spans="2:64" ht="15" x14ac:dyDescent="0.4">
      <c r="B6" t="s">
        <v>35</v>
      </c>
      <c r="C6" s="26">
        <v>53662</v>
      </c>
      <c r="D6" t="s">
        <v>31</v>
      </c>
      <c r="E6" t="s">
        <v>31</v>
      </c>
      <c r="F6" t="s">
        <v>32</v>
      </c>
      <c r="G6" t="s">
        <v>33</v>
      </c>
      <c r="H6" t="s">
        <v>34</v>
      </c>
      <c r="J6" s="27">
        <v>31938.806712043272</v>
      </c>
      <c r="K6" s="27">
        <v>42026.422573984819</v>
      </c>
      <c r="L6" s="27">
        <v>65236.912183876986</v>
      </c>
      <c r="M6" s="27">
        <v>31312.963585375826</v>
      </c>
      <c r="N6" s="28">
        <f t="shared" ref="N6:N69" si="8">SUM(J6:M6)</f>
        <v>170515.1050552809</v>
      </c>
      <c r="O6" s="27">
        <v>40300.94160925207</v>
      </c>
      <c r="P6" s="27">
        <v>55167.435518792816</v>
      </c>
      <c r="Q6" s="27">
        <v>79973.771456837087</v>
      </c>
      <c r="R6" s="27">
        <v>47410.911392503789</v>
      </c>
      <c r="S6" s="27">
        <v>40097.009219100422</v>
      </c>
      <c r="T6" s="27">
        <v>37732.812153446925</v>
      </c>
      <c r="U6" s="27">
        <v>25127.307786891684</v>
      </c>
      <c r="V6" s="27">
        <v>24269.018423123078</v>
      </c>
      <c r="W6" s="27">
        <v>34841.937523662666</v>
      </c>
      <c r="X6" s="27">
        <v>45846.483961271042</v>
      </c>
      <c r="Y6" s="27">
        <v>71166.729522497481</v>
      </c>
      <c r="Z6" s="27">
        <v>34159.207347937685</v>
      </c>
      <c r="AA6" s="28">
        <f t="shared" ref="AA6:AA69" si="9">SUM(O6:Z6)</f>
        <v>536093.56591531681</v>
      </c>
      <c r="AB6" s="29"/>
      <c r="AC6" s="27">
        <v>392307.78867746511</v>
      </c>
      <c r="AD6" s="27">
        <v>516215.05633170024</v>
      </c>
      <c r="AE6" s="27">
        <v>801311.98982309992</v>
      </c>
      <c r="AF6" s="27">
        <v>384620.4904231659</v>
      </c>
      <c r="AG6" s="28">
        <f t="shared" ref="AG6:AG69" si="10">SUM(AC6:AF6)</f>
        <v>2094455.3252554312</v>
      </c>
      <c r="AH6" s="27">
        <v>497101.40523517679</v>
      </c>
      <c r="AI6" s="27">
        <v>680475.65700839751</v>
      </c>
      <c r="AJ6" s="27">
        <v>986455.21880371741</v>
      </c>
      <c r="AK6" s="27">
        <v>584800.99311832071</v>
      </c>
      <c r="AL6" s="27">
        <v>509090.10325438104</v>
      </c>
      <c r="AM6" s="27">
        <v>484041.17928284802</v>
      </c>
      <c r="AN6" s="27">
        <v>322336.21082649875</v>
      </c>
      <c r="AO6" s="27">
        <v>311325.96875614917</v>
      </c>
      <c r="AP6" s="27">
        <v>446956.68212771561</v>
      </c>
      <c r="AQ6" s="27">
        <v>588124.36434209812</v>
      </c>
      <c r="AR6" s="27">
        <v>912935.60479102237</v>
      </c>
      <c r="AS6" s="27">
        <v>438198.53502630122</v>
      </c>
      <c r="AT6" s="28">
        <f t="shared" ref="AT6:AT69" si="11">SUM(AH6:AS6)</f>
        <v>6761841.9225726267</v>
      </c>
      <c r="AU6" s="30">
        <f t="shared" ref="AU6:BJ69" si="12">IFERROR(AC6/J6,0)</f>
        <v>12.283107262411789</v>
      </c>
      <c r="AV6" s="30">
        <f t="shared" si="6"/>
        <v>12.283107262411802</v>
      </c>
      <c r="AW6" s="30">
        <f t="shared" si="6"/>
        <v>12.283107262411795</v>
      </c>
      <c r="AX6" s="30">
        <f t="shared" si="6"/>
        <v>12.283107262411795</v>
      </c>
      <c r="AY6" s="31">
        <f t="shared" si="6"/>
        <v>12.283107262411797</v>
      </c>
      <c r="AZ6" s="30">
        <f t="shared" si="6"/>
        <v>12.334734261421202</v>
      </c>
      <c r="BA6" s="30">
        <f t="shared" si="6"/>
        <v>12.334734261421181</v>
      </c>
      <c r="BB6" s="30">
        <f t="shared" si="6"/>
        <v>12.334734261421202</v>
      </c>
      <c r="BC6" s="30">
        <f t="shared" si="6"/>
        <v>12.33473426142119</v>
      </c>
      <c r="BD6" s="30">
        <f t="shared" si="6"/>
        <v>12.696460737821646</v>
      </c>
      <c r="BE6" s="30">
        <f t="shared" si="6"/>
        <v>12.828123631878057</v>
      </c>
      <c r="BF6" s="30">
        <f t="shared" si="6"/>
        <v>12.828123631878057</v>
      </c>
      <c r="BG6" s="30">
        <f t="shared" si="6"/>
        <v>12.828123631878061</v>
      </c>
      <c r="BH6" s="30">
        <f t="shared" si="6"/>
        <v>12.82812363187805</v>
      </c>
      <c r="BI6" s="30">
        <f t="shared" si="6"/>
        <v>12.828123631878031</v>
      </c>
      <c r="BJ6" s="30">
        <f t="shared" si="6"/>
        <v>12.828123631878038</v>
      </c>
      <c r="BK6" s="30">
        <f t="shared" si="6"/>
        <v>12.828123631878034</v>
      </c>
      <c r="BL6" s="31">
        <f t="shared" si="7"/>
        <v>12.613174924096647</v>
      </c>
    </row>
    <row r="7" spans="2:64" ht="15" x14ac:dyDescent="0.4">
      <c r="B7" t="s">
        <v>36</v>
      </c>
      <c r="C7" s="26">
        <v>52599</v>
      </c>
      <c r="D7" t="s">
        <v>37</v>
      </c>
      <c r="E7" t="s">
        <v>37</v>
      </c>
      <c r="F7" t="s">
        <v>32</v>
      </c>
      <c r="G7" t="s">
        <v>33</v>
      </c>
      <c r="H7" t="s">
        <v>34</v>
      </c>
      <c r="J7" s="27">
        <v>4957.0923645410185</v>
      </c>
      <c r="K7" s="27">
        <v>3744.2979104603046</v>
      </c>
      <c r="L7" s="27">
        <v>5608.0052818588474</v>
      </c>
      <c r="M7" s="27">
        <v>3869.6463207368483</v>
      </c>
      <c r="N7" s="28">
        <f t="shared" si="8"/>
        <v>18179.041877597017</v>
      </c>
      <c r="O7" s="27">
        <v>4938.1714525067537</v>
      </c>
      <c r="P7" s="27">
        <v>4573.593853507391</v>
      </c>
      <c r="Q7" s="27">
        <v>6507.8863166464362</v>
      </c>
      <c r="R7" s="27">
        <v>6694.113134554862</v>
      </c>
      <c r="S7" s="27">
        <v>4884.17914748155</v>
      </c>
      <c r="T7" s="27">
        <v>3254.5649507035464</v>
      </c>
      <c r="U7" s="27">
        <v>4897.7549477853909</v>
      </c>
      <c r="V7" s="27">
        <v>3269.0734395778823</v>
      </c>
      <c r="W7" s="27">
        <v>4229.4317709954812</v>
      </c>
      <c r="X7" s="27">
        <v>3194.665618065218</v>
      </c>
      <c r="Y7" s="27">
        <v>4784.7959986923552</v>
      </c>
      <c r="Z7" s="27">
        <v>3301.6139074817484</v>
      </c>
      <c r="AA7" s="28">
        <f t="shared" si="9"/>
        <v>54529.844537998622</v>
      </c>
      <c r="AB7" s="29"/>
      <c r="AC7" s="27">
        <v>41204.851230404689</v>
      </c>
      <c r="AD7" s="27">
        <v>31123.736863659818</v>
      </c>
      <c r="AE7" s="27">
        <v>46615.436297143344</v>
      </c>
      <c r="AF7" s="27">
        <v>32165.670767163148</v>
      </c>
      <c r="AG7" s="28">
        <f t="shared" si="10"/>
        <v>151109.695158371</v>
      </c>
      <c r="AH7" s="27">
        <v>40288.359413466067</v>
      </c>
      <c r="AI7" s="27">
        <v>37313.931837621436</v>
      </c>
      <c r="AJ7" s="27">
        <v>53094.969558809724</v>
      </c>
      <c r="AK7" s="27">
        <v>54614.311899285211</v>
      </c>
      <c r="AL7" s="27">
        <v>41382.041172843536</v>
      </c>
      <c r="AM7" s="27">
        <v>27614.660017105583</v>
      </c>
      <c r="AN7" s="27">
        <v>41556.963765910747</v>
      </c>
      <c r="AO7" s="27">
        <v>27737.763102677778</v>
      </c>
      <c r="AP7" s="27">
        <v>35886.308059802992</v>
      </c>
      <c r="AQ7" s="27">
        <v>27106.420135243239</v>
      </c>
      <c r="AR7" s="27">
        <v>40598.518313955763</v>
      </c>
      <c r="AS7" s="27">
        <v>28013.865737461125</v>
      </c>
      <c r="AT7" s="28">
        <f t="shared" si="11"/>
        <v>455208.11301418318</v>
      </c>
      <c r="AU7" s="30">
        <f t="shared" si="12"/>
        <v>8.3123024951381712</v>
      </c>
      <c r="AV7" s="30">
        <f t="shared" si="6"/>
        <v>8.3123024951381677</v>
      </c>
      <c r="AW7" s="30">
        <f t="shared" si="6"/>
        <v>8.3123024951381712</v>
      </c>
      <c r="AX7" s="30">
        <f t="shared" si="6"/>
        <v>8.3123024951381712</v>
      </c>
      <c r="AY7" s="31">
        <f t="shared" si="6"/>
        <v>8.3123024951381712</v>
      </c>
      <c r="AZ7" s="30">
        <f t="shared" si="6"/>
        <v>8.158558243864654</v>
      </c>
      <c r="BA7" s="30">
        <f t="shared" si="6"/>
        <v>8.158558243864654</v>
      </c>
      <c r="BB7" s="30">
        <f t="shared" si="6"/>
        <v>8.1585582438646487</v>
      </c>
      <c r="BC7" s="30">
        <f t="shared" si="6"/>
        <v>8.1585582438646504</v>
      </c>
      <c r="BD7" s="30">
        <f t="shared" si="6"/>
        <v>8.4726706214659497</v>
      </c>
      <c r="BE7" s="30">
        <f t="shared" si="6"/>
        <v>8.4849005736192371</v>
      </c>
      <c r="BF7" s="30">
        <f t="shared" si="6"/>
        <v>8.4849005736192424</v>
      </c>
      <c r="BG7" s="30">
        <f t="shared" si="6"/>
        <v>8.4849005736192353</v>
      </c>
      <c r="BH7" s="30">
        <f t="shared" si="6"/>
        <v>8.4849005736192389</v>
      </c>
      <c r="BI7" s="30">
        <f t="shared" si="6"/>
        <v>8.4849005736192424</v>
      </c>
      <c r="BJ7" s="30">
        <f t="shared" si="6"/>
        <v>8.48490057361923</v>
      </c>
      <c r="BK7" s="30">
        <f t="shared" si="6"/>
        <v>8.4849005736192336</v>
      </c>
      <c r="BL7" s="31">
        <f t="shared" si="7"/>
        <v>8.3478710946438799</v>
      </c>
    </row>
    <row r="8" spans="2:64" ht="15" x14ac:dyDescent="0.4">
      <c r="B8" t="s">
        <v>38</v>
      </c>
      <c r="C8" s="26">
        <v>52597</v>
      </c>
      <c r="D8" t="s">
        <v>37</v>
      </c>
      <c r="E8" t="s">
        <v>37</v>
      </c>
      <c r="F8" t="s">
        <v>32</v>
      </c>
      <c r="G8" t="s">
        <v>33</v>
      </c>
      <c r="H8" t="s">
        <v>34</v>
      </c>
      <c r="J8" s="27">
        <v>8703.8550722092368</v>
      </c>
      <c r="K8" s="27">
        <v>6574.3835222727175</v>
      </c>
      <c r="L8" s="27">
        <v>9846.7532230464712</v>
      </c>
      <c r="M8" s="27">
        <v>6794.4751236282</v>
      </c>
      <c r="N8" s="28">
        <f t="shared" si="8"/>
        <v>31919.466941156625</v>
      </c>
      <c r="O8" s="27">
        <v>10759.805973513283</v>
      </c>
      <c r="P8" s="27">
        <v>9965.4260567262336</v>
      </c>
      <c r="Q8" s="27">
        <v>14180.06538214701</v>
      </c>
      <c r="R8" s="27">
        <v>14585.835908146535</v>
      </c>
      <c r="S8" s="27">
        <v>10642.161875546808</v>
      </c>
      <c r="T8" s="27">
        <v>7091.3875175376115</v>
      </c>
      <c r="U8" s="27">
        <v>10671.742253346441</v>
      </c>
      <c r="V8" s="27">
        <v>7123.0001350333996</v>
      </c>
      <c r="W8" s="27">
        <v>9215.5296088439736</v>
      </c>
      <c r="X8" s="27">
        <v>6960.8725681621345</v>
      </c>
      <c r="Y8" s="27">
        <v>10425.615445700654</v>
      </c>
      <c r="Z8" s="27">
        <v>7193.9027199882385</v>
      </c>
      <c r="AA8" s="28">
        <f t="shared" si="9"/>
        <v>118815.34544469233</v>
      </c>
      <c r="AB8" s="29"/>
      <c r="AC8" s="27">
        <v>53939.306411893471</v>
      </c>
      <c r="AD8" s="27">
        <v>40742.600185225921</v>
      </c>
      <c r="AE8" s="27">
        <v>61022.045387227605</v>
      </c>
      <c r="AF8" s="27">
        <v>42106.546186820407</v>
      </c>
      <c r="AG8" s="28">
        <f t="shared" si="10"/>
        <v>197810.49817116739</v>
      </c>
      <c r="AH8" s="27">
        <v>66425.782236681101</v>
      </c>
      <c r="AI8" s="27">
        <v>61521.668956610534</v>
      </c>
      <c r="AJ8" s="27">
        <v>87540.791859543373</v>
      </c>
      <c r="AK8" s="27">
        <v>90045.820729437299</v>
      </c>
      <c r="AL8" s="27">
        <v>67868.201935110206</v>
      </c>
      <c r="AM8" s="27">
        <v>45529.910364707757</v>
      </c>
      <c r="AN8" s="27">
        <v>68517.404672709876</v>
      </c>
      <c r="AO8" s="27">
        <v>45732.877645429282</v>
      </c>
      <c r="AP8" s="27">
        <v>59167.861862902515</v>
      </c>
      <c r="AQ8" s="27">
        <v>44691.945448586106</v>
      </c>
      <c r="AR8" s="27">
        <v>66937.159415663875</v>
      </c>
      <c r="AS8" s="27">
        <v>46188.104260761807</v>
      </c>
      <c r="AT8" s="28">
        <f t="shared" si="11"/>
        <v>750167.5293881438</v>
      </c>
      <c r="AU8" s="30">
        <f t="shared" si="12"/>
        <v>6.1971742365193636</v>
      </c>
      <c r="AV8" s="30">
        <f t="shared" si="6"/>
        <v>6.1971742365193645</v>
      </c>
      <c r="AW8" s="30">
        <f t="shared" si="6"/>
        <v>6.1971742365193645</v>
      </c>
      <c r="AX8" s="30">
        <f t="shared" si="6"/>
        <v>6.1971742365193645</v>
      </c>
      <c r="AY8" s="31">
        <f t="shared" si="6"/>
        <v>6.1971742365193645</v>
      </c>
      <c r="AZ8" s="30">
        <f t="shared" si="6"/>
        <v>6.173511158119128</v>
      </c>
      <c r="BA8" s="30">
        <f t="shared" si="6"/>
        <v>6.1735111581191306</v>
      </c>
      <c r="BB8" s="30">
        <f t="shared" si="6"/>
        <v>6.1735111581191306</v>
      </c>
      <c r="BC8" s="30">
        <f t="shared" si="6"/>
        <v>6.1735111581191298</v>
      </c>
      <c r="BD8" s="30">
        <f t="shared" si="6"/>
        <v>6.3772946445266365</v>
      </c>
      <c r="BE8" s="30">
        <f t="shared" si="6"/>
        <v>6.420451604443894</v>
      </c>
      <c r="BF8" s="30">
        <f t="shared" si="6"/>
        <v>6.4204516044438957</v>
      </c>
      <c r="BG8" s="30">
        <f t="shared" si="6"/>
        <v>6.4204516044438966</v>
      </c>
      <c r="BH8" s="30">
        <f t="shared" si="6"/>
        <v>6.4204516044438957</v>
      </c>
      <c r="BI8" s="30">
        <f t="shared" si="6"/>
        <v>6.4204516044439002</v>
      </c>
      <c r="BJ8" s="30">
        <f t="shared" si="6"/>
        <v>6.4204516044439002</v>
      </c>
      <c r="BK8" s="30">
        <f t="shared" si="6"/>
        <v>6.4204516044438984</v>
      </c>
      <c r="BL8" s="31">
        <f t="shared" si="7"/>
        <v>6.3137259465978772</v>
      </c>
    </row>
    <row r="9" spans="2:64" ht="15" x14ac:dyDescent="0.4">
      <c r="B9" t="s">
        <v>39</v>
      </c>
      <c r="C9" s="26">
        <v>52611</v>
      </c>
      <c r="D9" t="s">
        <v>37</v>
      </c>
      <c r="E9" t="s">
        <v>37</v>
      </c>
      <c r="F9" t="s">
        <v>32</v>
      </c>
      <c r="G9" t="s">
        <v>33</v>
      </c>
      <c r="H9" t="s">
        <v>34</v>
      </c>
      <c r="J9" s="27">
        <v>3650.8396670655843</v>
      </c>
      <c r="K9" s="27">
        <v>2757.6309520883756</v>
      </c>
      <c r="L9" s="27">
        <v>4130.2293018740838</v>
      </c>
      <c r="M9" s="27">
        <v>2849.9485678977371</v>
      </c>
      <c r="N9" s="28">
        <f t="shared" si="8"/>
        <v>13388.648488925781</v>
      </c>
      <c r="O9" s="27">
        <v>4325.5364975584171</v>
      </c>
      <c r="P9" s="27">
        <v>4006.1887945005474</v>
      </c>
      <c r="Q9" s="27">
        <v>5700.5108176884723</v>
      </c>
      <c r="R9" s="27">
        <v>5863.6341327524278</v>
      </c>
      <c r="S9" s="27">
        <v>4278.242536986173</v>
      </c>
      <c r="T9" s="27">
        <v>2850.8000609813462</v>
      </c>
      <c r="U9" s="27">
        <v>4290.1341086463735</v>
      </c>
      <c r="V9" s="27">
        <v>2863.508610847206</v>
      </c>
      <c r="W9" s="27">
        <v>3704.7238366110705</v>
      </c>
      <c r="X9" s="27">
        <v>2798.3319051065732</v>
      </c>
      <c r="Y9" s="27">
        <v>4191.18897040502</v>
      </c>
      <c r="Z9" s="27">
        <v>2892.012072689211</v>
      </c>
      <c r="AA9" s="28">
        <f t="shared" si="9"/>
        <v>47764.812344772836</v>
      </c>
      <c r="AB9" s="29"/>
      <c r="AC9" s="27">
        <v>24685.921536689111</v>
      </c>
      <c r="AD9" s="27">
        <v>18646.302636761622</v>
      </c>
      <c r="AE9" s="27">
        <v>27927.415546174478</v>
      </c>
      <c r="AF9" s="27">
        <v>19270.527644746115</v>
      </c>
      <c r="AG9" s="28">
        <f t="shared" si="10"/>
        <v>90530.167364371329</v>
      </c>
      <c r="AH9" s="27">
        <v>29228.259858072179</v>
      </c>
      <c r="AI9" s="27">
        <v>27070.382412043797</v>
      </c>
      <c r="AJ9" s="27">
        <v>38519.155160798655</v>
      </c>
      <c r="AK9" s="27">
        <v>39621.402395168436</v>
      </c>
      <c r="AL9" s="27">
        <v>29963.492649900898</v>
      </c>
      <c r="AM9" s="27">
        <v>20033.788186532645</v>
      </c>
      <c r="AN9" s="27">
        <v>30148.602562767686</v>
      </c>
      <c r="AO9" s="27">
        <v>20123.096587937343</v>
      </c>
      <c r="AP9" s="27">
        <v>26034.67484377552</v>
      </c>
      <c r="AQ9" s="27">
        <v>19665.072072161813</v>
      </c>
      <c r="AR9" s="27">
        <v>29453.272866116818</v>
      </c>
      <c r="AS9" s="27">
        <v>20323.402573945023</v>
      </c>
      <c r="AT9" s="28">
        <f t="shared" si="11"/>
        <v>330184.6021692208</v>
      </c>
      <c r="AU9" s="30">
        <f t="shared" si="12"/>
        <v>6.7617106714880144</v>
      </c>
      <c r="AV9" s="30">
        <f t="shared" si="6"/>
        <v>6.7617106714880144</v>
      </c>
      <c r="AW9" s="30">
        <f t="shared" si="6"/>
        <v>6.7617106714880126</v>
      </c>
      <c r="AX9" s="30">
        <f t="shared" si="6"/>
        <v>6.7617106714880153</v>
      </c>
      <c r="AY9" s="31">
        <f t="shared" si="6"/>
        <v>6.7617106714880144</v>
      </c>
      <c r="AZ9" s="30">
        <f t="shared" si="6"/>
        <v>6.7571409638019002</v>
      </c>
      <c r="BA9" s="30">
        <f t="shared" si="6"/>
        <v>6.7571409638018993</v>
      </c>
      <c r="BB9" s="30">
        <f t="shared" si="6"/>
        <v>6.757140963801902</v>
      </c>
      <c r="BC9" s="30">
        <f t="shared" si="6"/>
        <v>6.7571409638018958</v>
      </c>
      <c r="BD9" s="30">
        <f t="shared" si="6"/>
        <v>7.0036919110735631</v>
      </c>
      <c r="BE9" s="30">
        <f t="shared" si="6"/>
        <v>7.0274266023539749</v>
      </c>
      <c r="BF9" s="30">
        <f t="shared" si="6"/>
        <v>7.0274266023539758</v>
      </c>
      <c r="BG9" s="30">
        <f t="shared" si="6"/>
        <v>7.0274266023539793</v>
      </c>
      <c r="BH9" s="30">
        <f t="shared" si="6"/>
        <v>7.0274266023539758</v>
      </c>
      <c r="BI9" s="30">
        <f t="shared" si="6"/>
        <v>7.0274266023539749</v>
      </c>
      <c r="BJ9" s="30">
        <f t="shared" si="6"/>
        <v>7.0274266023539784</v>
      </c>
      <c r="BK9" s="30">
        <f t="shared" si="6"/>
        <v>7.0274266023539766</v>
      </c>
      <c r="BL9" s="31">
        <f t="shared" si="7"/>
        <v>6.9127164111083275</v>
      </c>
    </row>
    <row r="10" spans="2:64" ht="15" x14ac:dyDescent="0.4">
      <c r="B10" t="s">
        <v>40</v>
      </c>
      <c r="C10" s="26">
        <v>52615</v>
      </c>
      <c r="D10" t="s">
        <v>37</v>
      </c>
      <c r="E10" t="s">
        <v>37</v>
      </c>
      <c r="F10" t="s">
        <v>32</v>
      </c>
      <c r="G10" t="s">
        <v>33</v>
      </c>
      <c r="H10" t="s">
        <v>34</v>
      </c>
      <c r="J10" s="27">
        <v>3736.9308006021465</v>
      </c>
      <c r="K10" s="27">
        <v>2822.6591637303341</v>
      </c>
      <c r="L10" s="27">
        <v>4227.6250121190251</v>
      </c>
      <c r="M10" s="27">
        <v>2917.1537385176853</v>
      </c>
      <c r="N10" s="28">
        <f t="shared" si="8"/>
        <v>13704.36871496919</v>
      </c>
      <c r="O10" s="27">
        <v>4394.3908910511618</v>
      </c>
      <c r="P10" s="27">
        <v>4069.9597740815711</v>
      </c>
      <c r="Q10" s="27">
        <v>5791.2522124662828</v>
      </c>
      <c r="R10" s="27">
        <v>5956.9721434481899</v>
      </c>
      <c r="S10" s="27">
        <v>4346.3440997091611</v>
      </c>
      <c r="T10" s="27">
        <v>2896.1794282063702</v>
      </c>
      <c r="U10" s="27">
        <v>4358.4249627913141</v>
      </c>
      <c r="V10" s="27">
        <v>2909.0902742483654</v>
      </c>
      <c r="W10" s="27">
        <v>3763.6960618996454</v>
      </c>
      <c r="X10" s="27">
        <v>2842.8760781186998</v>
      </c>
      <c r="Y10" s="27">
        <v>4257.9048043214871</v>
      </c>
      <c r="Z10" s="27">
        <v>2938.0474575139856</v>
      </c>
      <c r="AA10" s="28">
        <f t="shared" si="9"/>
        <v>48525.138187856239</v>
      </c>
      <c r="AB10" s="29"/>
      <c r="AC10" s="27">
        <v>24942.248985286999</v>
      </c>
      <c r="AD10" s="27">
        <v>18839.917413247134</v>
      </c>
      <c r="AE10" s="27">
        <v>28217.401203069829</v>
      </c>
      <c r="AF10" s="27">
        <v>19470.62409149903</v>
      </c>
      <c r="AG10" s="28">
        <f t="shared" si="10"/>
        <v>91470.191693102985</v>
      </c>
      <c r="AH10" s="27">
        <v>29168.961924301588</v>
      </c>
      <c r="AI10" s="27">
        <v>27015.46235347007</v>
      </c>
      <c r="AJ10" s="27">
        <v>38441.007973018233</v>
      </c>
      <c r="AK10" s="27">
        <v>39541.018981768728</v>
      </c>
      <c r="AL10" s="27">
        <v>29860.139238154537</v>
      </c>
      <c r="AM10" s="27">
        <v>19993.143883696026</v>
      </c>
      <c r="AN10" s="27">
        <v>30087.437449048175</v>
      </c>
      <c r="AO10" s="27">
        <v>20082.271097315428</v>
      </c>
      <c r="AP10" s="27">
        <v>25981.856015965684</v>
      </c>
      <c r="AQ10" s="27">
        <v>19625.175816038762</v>
      </c>
      <c r="AR10" s="27">
        <v>29393.518428725645</v>
      </c>
      <c r="AS10" s="27">
        <v>20282.170705004672</v>
      </c>
      <c r="AT10" s="28">
        <f t="shared" si="11"/>
        <v>329472.16386650753</v>
      </c>
      <c r="AU10" s="30">
        <f t="shared" si="12"/>
        <v>6.6745279257694454</v>
      </c>
      <c r="AV10" s="30">
        <f t="shared" si="6"/>
        <v>6.6745279257694419</v>
      </c>
      <c r="AW10" s="30">
        <f t="shared" si="6"/>
        <v>6.6745279257694463</v>
      </c>
      <c r="AX10" s="30">
        <f t="shared" si="6"/>
        <v>6.6745279257694454</v>
      </c>
      <c r="AY10" s="31">
        <f t="shared" si="6"/>
        <v>6.6745279257694445</v>
      </c>
      <c r="AZ10" s="30">
        <f t="shared" si="6"/>
        <v>6.6377713424861522</v>
      </c>
      <c r="BA10" s="30">
        <f t="shared" si="6"/>
        <v>6.6377713424861531</v>
      </c>
      <c r="BB10" s="30">
        <f t="shared" si="6"/>
        <v>6.6377713424861549</v>
      </c>
      <c r="BC10" s="30">
        <f t="shared" si="6"/>
        <v>6.6377713424861566</v>
      </c>
      <c r="BD10" s="30">
        <f t="shared" si="6"/>
        <v>6.8701737720565319</v>
      </c>
      <c r="BE10" s="30">
        <f t="shared" si="6"/>
        <v>6.9032821961856001</v>
      </c>
      <c r="BF10" s="30">
        <f t="shared" si="6"/>
        <v>6.9032821961856028</v>
      </c>
      <c r="BG10" s="30">
        <f t="shared" si="6"/>
        <v>6.903282196185601</v>
      </c>
      <c r="BH10" s="30">
        <f t="shared" si="6"/>
        <v>6.9032821961856019</v>
      </c>
      <c r="BI10" s="30">
        <f t="shared" si="6"/>
        <v>6.9032821961855992</v>
      </c>
      <c r="BJ10" s="30">
        <f t="shared" si="6"/>
        <v>6.9032821961855984</v>
      </c>
      <c r="BK10" s="30">
        <f t="shared" si="6"/>
        <v>6.9032821961856019</v>
      </c>
      <c r="BL10" s="31">
        <f t="shared" si="7"/>
        <v>6.7897212902519932</v>
      </c>
    </row>
    <row r="11" spans="2:64" ht="15" x14ac:dyDescent="0.4">
      <c r="B11" t="s">
        <v>41</v>
      </c>
      <c r="C11" s="26">
        <v>53961</v>
      </c>
      <c r="D11" t="s">
        <v>37</v>
      </c>
      <c r="E11" t="s">
        <v>37</v>
      </c>
      <c r="F11" t="s">
        <v>32</v>
      </c>
      <c r="G11" t="s">
        <v>33</v>
      </c>
      <c r="H11" t="s">
        <v>34</v>
      </c>
      <c r="J11" s="27">
        <v>2421.9266863099115</v>
      </c>
      <c r="K11" s="27">
        <v>1829.3818964734794</v>
      </c>
      <c r="L11" s="27">
        <v>2739.9484718615827</v>
      </c>
      <c r="M11" s="27">
        <v>1890.6243825136589</v>
      </c>
      <c r="N11" s="28">
        <f t="shared" si="8"/>
        <v>8881.8814371586323</v>
      </c>
      <c r="O11" s="27">
        <v>1068.1782833822906</v>
      </c>
      <c r="P11" s="27">
        <v>989.3163245369592</v>
      </c>
      <c r="Q11" s="27">
        <v>1407.7240737831548</v>
      </c>
      <c r="R11" s="27">
        <v>1448.0068878948832</v>
      </c>
      <c r="S11" s="27">
        <v>1056.4991814611944</v>
      </c>
      <c r="T11" s="27">
        <v>703.99653710563996</v>
      </c>
      <c r="U11" s="27">
        <v>1059.4357694682262</v>
      </c>
      <c r="V11" s="27">
        <v>707.1348754337655</v>
      </c>
      <c r="W11" s="27">
        <v>914.87045605334754</v>
      </c>
      <c r="X11" s="27">
        <v>691.03968315094926</v>
      </c>
      <c r="Y11" s="27">
        <v>1035.0015639135329</v>
      </c>
      <c r="Z11" s="27">
        <v>714.17371996970462</v>
      </c>
      <c r="AA11" s="28">
        <f t="shared" si="9"/>
        <v>11795.377356153649</v>
      </c>
      <c r="AB11" s="29"/>
      <c r="AC11" s="27">
        <v>22155.7389958372</v>
      </c>
      <c r="AD11" s="27">
        <v>16735.15059356741</v>
      </c>
      <c r="AE11" s="27">
        <v>25064.996206429463</v>
      </c>
      <c r="AF11" s="27">
        <v>17295.39568431778</v>
      </c>
      <c r="AG11" s="28">
        <f t="shared" si="10"/>
        <v>81251.281480151869</v>
      </c>
      <c r="AH11" s="27">
        <v>9931.2113519540617</v>
      </c>
      <c r="AI11" s="27">
        <v>9198.0053009546173</v>
      </c>
      <c r="AJ11" s="27">
        <v>13088.082316845641</v>
      </c>
      <c r="AK11" s="27">
        <v>13462.605134823463</v>
      </c>
      <c r="AL11" s="27">
        <v>10190.304737081302</v>
      </c>
      <c r="AM11" s="27">
        <v>6807.1033180508712</v>
      </c>
      <c r="AN11" s="27">
        <v>10243.926442108019</v>
      </c>
      <c r="AO11" s="27">
        <v>6837.4486281775135</v>
      </c>
      <c r="AP11" s="27">
        <v>8846.0914063458731</v>
      </c>
      <c r="AQ11" s="27">
        <v>6681.8205376708875</v>
      </c>
      <c r="AR11" s="27">
        <v>10007.666527550607</v>
      </c>
      <c r="AS11" s="27">
        <v>6905.508823747261</v>
      </c>
      <c r="AT11" s="28">
        <f t="shared" si="11"/>
        <v>112199.77452531013</v>
      </c>
      <c r="AU11" s="30">
        <f t="shared" si="12"/>
        <v>9.1479808703846679</v>
      </c>
      <c r="AV11" s="30">
        <f t="shared" si="6"/>
        <v>9.1479808703846661</v>
      </c>
      <c r="AW11" s="30">
        <f t="shared" si="6"/>
        <v>9.1479808703846679</v>
      </c>
      <c r="AX11" s="30">
        <f t="shared" si="6"/>
        <v>9.1479808703846697</v>
      </c>
      <c r="AY11" s="31">
        <f t="shared" si="6"/>
        <v>9.1479808703846697</v>
      </c>
      <c r="AZ11" s="30">
        <f t="shared" si="6"/>
        <v>9.2973350108820529</v>
      </c>
      <c r="BA11" s="30">
        <f t="shared" si="6"/>
        <v>9.2973350108820476</v>
      </c>
      <c r="BB11" s="30">
        <f t="shared" si="6"/>
        <v>9.2973350108820565</v>
      </c>
      <c r="BC11" s="30">
        <f t="shared" si="6"/>
        <v>9.2973350108820547</v>
      </c>
      <c r="BD11" s="30">
        <f t="shared" si="6"/>
        <v>9.6453503380736834</v>
      </c>
      <c r="BE11" s="30">
        <f t="shared" si="6"/>
        <v>9.6692284113173326</v>
      </c>
      <c r="BF11" s="30">
        <f t="shared" si="6"/>
        <v>9.6692284113173379</v>
      </c>
      <c r="BG11" s="30">
        <f t="shared" si="6"/>
        <v>9.6692284113173397</v>
      </c>
      <c r="BH11" s="30">
        <f t="shared" si="6"/>
        <v>9.6692284113173326</v>
      </c>
      <c r="BI11" s="30">
        <f t="shared" si="6"/>
        <v>9.6692284113173343</v>
      </c>
      <c r="BJ11" s="30">
        <f t="shared" si="6"/>
        <v>9.6692284113173361</v>
      </c>
      <c r="BK11" s="30">
        <f t="shared" si="6"/>
        <v>9.6692284113173379</v>
      </c>
      <c r="BL11" s="31">
        <f t="shared" si="7"/>
        <v>9.5121818605299229</v>
      </c>
    </row>
    <row r="12" spans="2:64" ht="15" x14ac:dyDescent="0.4">
      <c r="B12" t="s">
        <v>42</v>
      </c>
      <c r="C12" s="26">
        <v>52352</v>
      </c>
      <c r="D12" t="s">
        <v>43</v>
      </c>
      <c r="E12" t="s">
        <v>43</v>
      </c>
      <c r="F12" t="s">
        <v>32</v>
      </c>
      <c r="G12" t="s">
        <v>33</v>
      </c>
      <c r="H12" t="s">
        <v>34</v>
      </c>
      <c r="J12" s="27">
        <v>5924.9865608148166</v>
      </c>
      <c r="K12" s="27">
        <v>4254.0416161258363</v>
      </c>
      <c r="L12" s="27">
        <v>4881.417333971719</v>
      </c>
      <c r="M12" s="27">
        <v>2931.8672890808698</v>
      </c>
      <c r="N12" s="28">
        <f t="shared" si="8"/>
        <v>17992.312799993244</v>
      </c>
      <c r="O12" s="27">
        <v>5117.0169419164649</v>
      </c>
      <c r="P12" s="27">
        <v>5692.954367644028</v>
      </c>
      <c r="Q12" s="27">
        <v>9819.7599630578061</v>
      </c>
      <c r="R12" s="27">
        <v>3804.9108203257506</v>
      </c>
      <c r="S12" s="27">
        <v>4215.2460953545287</v>
      </c>
      <c r="T12" s="27">
        <v>3644.1424621338474</v>
      </c>
      <c r="U12" s="27">
        <v>3363.9615260867113</v>
      </c>
      <c r="V12" s="27">
        <v>3326.186332792176</v>
      </c>
      <c r="W12" s="27">
        <v>4641.1569240166</v>
      </c>
      <c r="X12" s="27">
        <v>3332.2733307638068</v>
      </c>
      <c r="Y12" s="27">
        <v>3823.7089022969667</v>
      </c>
      <c r="Z12" s="27">
        <v>2296.5885288259892</v>
      </c>
      <c r="AA12" s="28">
        <f t="shared" si="9"/>
        <v>53077.906195214673</v>
      </c>
      <c r="AB12" s="29"/>
      <c r="AC12" s="27">
        <v>70082.378861798803</v>
      </c>
      <c r="AD12" s="27">
        <v>50317.980163349064</v>
      </c>
      <c r="AE12" s="27">
        <v>57738.753577005802</v>
      </c>
      <c r="AF12" s="27">
        <v>34678.936739668075</v>
      </c>
      <c r="AG12" s="28">
        <f t="shared" si="10"/>
        <v>212818.04934182175</v>
      </c>
      <c r="AH12" s="27">
        <v>59385.487142384816</v>
      </c>
      <c r="AI12" s="27">
        <v>66069.522973923944</v>
      </c>
      <c r="AJ12" s="27">
        <v>113963.12258623632</v>
      </c>
      <c r="AK12" s="27">
        <v>44157.853132639582</v>
      </c>
      <c r="AL12" s="27">
        <v>50001.564939303535</v>
      </c>
      <c r="AM12" s="27">
        <v>43983.739920739368</v>
      </c>
      <c r="AN12" s="27">
        <v>40602.037490085597</v>
      </c>
      <c r="AO12" s="27">
        <v>40146.101890808968</v>
      </c>
      <c r="AP12" s="27">
        <v>56017.41457652895</v>
      </c>
      <c r="AQ12" s="27">
        <v>40219.570186427009</v>
      </c>
      <c r="AR12" s="27">
        <v>46151.054641471441</v>
      </c>
      <c r="AS12" s="27">
        <v>27719.155770240457</v>
      </c>
      <c r="AT12" s="28">
        <f t="shared" si="11"/>
        <v>628416.62525079004</v>
      </c>
      <c r="AU12" s="30">
        <f t="shared" si="12"/>
        <v>11.828276426024656</v>
      </c>
      <c r="AV12" s="30">
        <f t="shared" si="6"/>
        <v>11.828276426024658</v>
      </c>
      <c r="AW12" s="30">
        <f t="shared" si="6"/>
        <v>11.828276426024654</v>
      </c>
      <c r="AX12" s="30">
        <f t="shared" si="6"/>
        <v>11.828276426024658</v>
      </c>
      <c r="AY12" s="31">
        <f t="shared" si="6"/>
        <v>11.828276426024656</v>
      </c>
      <c r="AZ12" s="30">
        <f t="shared" si="6"/>
        <v>11.605489646892453</v>
      </c>
      <c r="BA12" s="30">
        <f t="shared" si="6"/>
        <v>11.605489646892455</v>
      </c>
      <c r="BB12" s="30">
        <f t="shared" si="6"/>
        <v>11.605489646892446</v>
      </c>
      <c r="BC12" s="30">
        <f t="shared" si="6"/>
        <v>11.605489646892456</v>
      </c>
      <c r="BD12" s="30">
        <f t="shared" si="6"/>
        <v>11.862074908131333</v>
      </c>
      <c r="BE12" s="30">
        <f t="shared" si="6"/>
        <v>12.069709232768153</v>
      </c>
      <c r="BF12" s="30">
        <f t="shared" si="6"/>
        <v>12.069709232768144</v>
      </c>
      <c r="BG12" s="30">
        <f t="shared" si="6"/>
        <v>12.069709232768153</v>
      </c>
      <c r="BH12" s="30">
        <f t="shared" si="6"/>
        <v>12.069709232768142</v>
      </c>
      <c r="BI12" s="30">
        <f t="shared" si="6"/>
        <v>12.069709232768155</v>
      </c>
      <c r="BJ12" s="30">
        <f t="shared" si="6"/>
        <v>12.069709232768144</v>
      </c>
      <c r="BK12" s="30">
        <f t="shared" si="6"/>
        <v>12.069709232768147</v>
      </c>
      <c r="BL12" s="31">
        <f t="shared" si="7"/>
        <v>11.839514221596142</v>
      </c>
    </row>
    <row r="13" spans="2:64" ht="15" x14ac:dyDescent="0.4">
      <c r="B13" t="s">
        <v>44</v>
      </c>
      <c r="C13" s="26">
        <v>52551</v>
      </c>
      <c r="D13" t="s">
        <v>43</v>
      </c>
      <c r="E13" t="s">
        <v>43</v>
      </c>
      <c r="F13" t="s">
        <v>32</v>
      </c>
      <c r="G13" t="s">
        <v>33</v>
      </c>
      <c r="H13" t="s">
        <v>34</v>
      </c>
      <c r="J13" s="27">
        <v>4892.6722624587792</v>
      </c>
      <c r="K13" s="27">
        <v>3512.857152489787</v>
      </c>
      <c r="L13" s="27">
        <v>4030.9247871314069</v>
      </c>
      <c r="M13" s="27">
        <v>2421.0461264782139</v>
      </c>
      <c r="N13" s="28">
        <f t="shared" si="8"/>
        <v>14857.500328558188</v>
      </c>
      <c r="O13" s="27">
        <v>3830.7290292987723</v>
      </c>
      <c r="P13" s="27">
        <v>4261.8904346326935</v>
      </c>
      <c r="Q13" s="27">
        <v>7351.3220648323322</v>
      </c>
      <c r="R13" s="27">
        <v>2848.4530144736837</v>
      </c>
      <c r="S13" s="27">
        <v>3155.6404378573789</v>
      </c>
      <c r="T13" s="27">
        <v>2728.09773253714</v>
      </c>
      <c r="U13" s="27">
        <v>2518.3471576699999</v>
      </c>
      <c r="V13" s="27">
        <v>2490.0676871927053</v>
      </c>
      <c r="W13" s="27">
        <v>3474.488116840716</v>
      </c>
      <c r="X13" s="27">
        <v>2494.6245686914167</v>
      </c>
      <c r="Y13" s="27">
        <v>2862.525736749114</v>
      </c>
      <c r="Z13" s="27">
        <v>1719.28458427838</v>
      </c>
      <c r="AA13" s="28">
        <f t="shared" si="9"/>
        <v>39735.470565054333</v>
      </c>
      <c r="AB13" s="29"/>
      <c r="AC13" s="27">
        <v>55194.406254658323</v>
      </c>
      <c r="AD13" s="27">
        <v>39628.663926012763</v>
      </c>
      <c r="AE13" s="27">
        <v>45473.00296200403</v>
      </c>
      <c r="AF13" s="27">
        <v>27311.905702621389</v>
      </c>
      <c r="AG13" s="28">
        <f t="shared" si="10"/>
        <v>167607.97884529649</v>
      </c>
      <c r="AH13" s="27">
        <v>44480.636597928766</v>
      </c>
      <c r="AI13" s="27">
        <v>49487.08149106209</v>
      </c>
      <c r="AJ13" s="27">
        <v>85360.118864893739</v>
      </c>
      <c r="AK13" s="27">
        <v>33074.90622125045</v>
      </c>
      <c r="AL13" s="27">
        <v>38107.496055075288</v>
      </c>
      <c r="AM13" s="27">
        <v>32944.492767086762</v>
      </c>
      <c r="AN13" s="27">
        <v>30411.546012948183</v>
      </c>
      <c r="AO13" s="27">
        <v>30070.043287629811</v>
      </c>
      <c r="AP13" s="27">
        <v>41957.898820631643</v>
      </c>
      <c r="AQ13" s="27">
        <v>30125.072162799606</v>
      </c>
      <c r="AR13" s="27">
        <v>34567.844584595376</v>
      </c>
      <c r="AS13" s="27">
        <v>20762.070902293737</v>
      </c>
      <c r="AT13" s="28">
        <f t="shared" si="11"/>
        <v>471349.20776819537</v>
      </c>
      <c r="AU13" s="30">
        <f t="shared" si="12"/>
        <v>11.281034840236927</v>
      </c>
      <c r="AV13" s="30">
        <f t="shared" si="6"/>
        <v>11.281034840236925</v>
      </c>
      <c r="AW13" s="30">
        <f t="shared" si="6"/>
        <v>11.281034840236929</v>
      </c>
      <c r="AX13" s="30">
        <f t="shared" si="6"/>
        <v>11.281034840236927</v>
      </c>
      <c r="AY13" s="31">
        <f t="shared" si="6"/>
        <v>11.281034840236925</v>
      </c>
      <c r="AZ13" s="30">
        <f t="shared" si="6"/>
        <v>11.611533015706698</v>
      </c>
      <c r="BA13" s="30">
        <f t="shared" si="6"/>
        <v>11.611533015706698</v>
      </c>
      <c r="BB13" s="30">
        <f t="shared" si="6"/>
        <v>11.611533015706694</v>
      </c>
      <c r="BC13" s="30">
        <f t="shared" si="6"/>
        <v>11.6115330157067</v>
      </c>
      <c r="BD13" s="30">
        <f t="shared" si="6"/>
        <v>12.075994336334963</v>
      </c>
      <c r="BE13" s="30">
        <f t="shared" si="6"/>
        <v>12.075994336334965</v>
      </c>
      <c r="BF13" s="30">
        <f t="shared" si="6"/>
        <v>12.075994336334968</v>
      </c>
      <c r="BG13" s="30">
        <f t="shared" si="6"/>
        <v>12.075994336334963</v>
      </c>
      <c r="BH13" s="30">
        <f t="shared" si="6"/>
        <v>12.07599433633497</v>
      </c>
      <c r="BI13" s="30">
        <f t="shared" si="6"/>
        <v>12.075994336334967</v>
      </c>
      <c r="BJ13" s="30">
        <f t="shared" si="6"/>
        <v>12.075994336334965</v>
      </c>
      <c r="BK13" s="30">
        <f t="shared" si="6"/>
        <v>12.075994336334968</v>
      </c>
      <c r="BL13" s="31">
        <f t="shared" si="7"/>
        <v>11.862177572466628</v>
      </c>
    </row>
    <row r="14" spans="2:64" ht="15" x14ac:dyDescent="0.4">
      <c r="B14" t="s">
        <v>45</v>
      </c>
      <c r="C14" s="26">
        <v>52558</v>
      </c>
      <c r="D14" t="s">
        <v>43</v>
      </c>
      <c r="E14" t="s">
        <v>43</v>
      </c>
      <c r="F14" t="s">
        <v>32</v>
      </c>
      <c r="G14" t="s">
        <v>33</v>
      </c>
      <c r="H14" t="s">
        <v>34</v>
      </c>
      <c r="J14" s="27">
        <v>6706.9173595909224</v>
      </c>
      <c r="K14" s="27">
        <v>4815.4548994779279</v>
      </c>
      <c r="L14" s="27">
        <v>5525.6264838043089</v>
      </c>
      <c r="M14" s="27">
        <v>3318.7909230378168</v>
      </c>
      <c r="N14" s="28">
        <f t="shared" si="8"/>
        <v>20366.789665910976</v>
      </c>
      <c r="O14" s="27">
        <v>5793.2735170420356</v>
      </c>
      <c r="P14" s="27">
        <v>6445.3258893156408</v>
      </c>
      <c r="Q14" s="27">
        <v>11117.523350701684</v>
      </c>
      <c r="R14" s="27">
        <v>4307.7616002272198</v>
      </c>
      <c r="S14" s="27">
        <v>4772.3261128946442</v>
      </c>
      <c r="T14" s="27">
        <v>4125.7463592257591</v>
      </c>
      <c r="U14" s="27">
        <v>3808.5371697298933</v>
      </c>
      <c r="V14" s="27">
        <v>3765.7696687818916</v>
      </c>
      <c r="W14" s="27">
        <v>5254.5246188439496</v>
      </c>
      <c r="X14" s="27">
        <v>3772.6611144322787</v>
      </c>
      <c r="Y14" s="27">
        <v>4329.0440059122448</v>
      </c>
      <c r="Z14" s="27">
        <v>2600.1019059763221</v>
      </c>
      <c r="AA14" s="28">
        <f t="shared" si="9"/>
        <v>60092.595313083555</v>
      </c>
      <c r="AB14" s="29"/>
      <c r="AC14" s="27">
        <v>51174.653133882151</v>
      </c>
      <c r="AD14" s="27">
        <v>36742.548170843562</v>
      </c>
      <c r="AE14" s="27">
        <v>42161.249870137894</v>
      </c>
      <c r="AF14" s="27">
        <v>25322.807066866233</v>
      </c>
      <c r="AG14" s="28">
        <f t="shared" si="10"/>
        <v>155401.25824172984</v>
      </c>
      <c r="AH14" s="27">
        <v>45697.835260310087</v>
      </c>
      <c r="AI14" s="27">
        <v>50841.279946910632</v>
      </c>
      <c r="AJ14" s="27">
        <v>87695.97173143964</v>
      </c>
      <c r="AK14" s="27">
        <v>33979.990651017084</v>
      </c>
      <c r="AL14" s="27">
        <v>39081.737207489081</v>
      </c>
      <c r="AM14" s="27">
        <v>33846.008473604234</v>
      </c>
      <c r="AN14" s="27">
        <v>31243.748426382877</v>
      </c>
      <c r="AO14" s="27">
        <v>30892.900586150477</v>
      </c>
      <c r="AP14" s="27">
        <v>43106.063555377848</v>
      </c>
      <c r="AQ14" s="27">
        <v>30949.435309221102</v>
      </c>
      <c r="AR14" s="27">
        <v>35513.782804187627</v>
      </c>
      <c r="AS14" s="27">
        <v>21330.218457351759</v>
      </c>
      <c r="AT14" s="28">
        <f t="shared" si="11"/>
        <v>484178.97240944242</v>
      </c>
      <c r="AU14" s="30">
        <f t="shared" si="12"/>
        <v>7.6301302655387824</v>
      </c>
      <c r="AV14" s="30">
        <f t="shared" si="6"/>
        <v>7.6301302655387842</v>
      </c>
      <c r="AW14" s="30">
        <f t="shared" si="6"/>
        <v>7.6301302655387815</v>
      </c>
      <c r="AX14" s="30">
        <f t="shared" si="6"/>
        <v>7.6301302655387806</v>
      </c>
      <c r="AY14" s="31">
        <f t="shared" si="6"/>
        <v>7.6301302655387824</v>
      </c>
      <c r="AZ14" s="30">
        <f t="shared" si="6"/>
        <v>7.888085229513341</v>
      </c>
      <c r="BA14" s="30">
        <f t="shared" si="6"/>
        <v>7.8880852295133392</v>
      </c>
      <c r="BB14" s="30">
        <f t="shared" si="6"/>
        <v>7.8880852295133428</v>
      </c>
      <c r="BC14" s="30">
        <f t="shared" si="6"/>
        <v>7.8880852295133401</v>
      </c>
      <c r="BD14" s="30">
        <f t="shared" si="6"/>
        <v>8.1892427891488193</v>
      </c>
      <c r="BE14" s="30">
        <f t="shared" si="6"/>
        <v>8.2036086386938738</v>
      </c>
      <c r="BF14" s="30">
        <f t="shared" si="6"/>
        <v>8.2036086386938756</v>
      </c>
      <c r="BG14" s="30">
        <f t="shared" si="6"/>
        <v>8.2036086386938702</v>
      </c>
      <c r="BH14" s="30">
        <f t="shared" si="6"/>
        <v>8.203608638693872</v>
      </c>
      <c r="BI14" s="30">
        <f t="shared" si="6"/>
        <v>8.2036086386938738</v>
      </c>
      <c r="BJ14" s="30">
        <f t="shared" si="6"/>
        <v>8.2036086386938738</v>
      </c>
      <c r="BK14" s="30">
        <f t="shared" si="6"/>
        <v>8.203608638693872</v>
      </c>
      <c r="BL14" s="31">
        <f t="shared" si="7"/>
        <v>8.0572152007557811</v>
      </c>
    </row>
    <row r="15" spans="2:64" ht="15" x14ac:dyDescent="0.4">
      <c r="B15" t="s">
        <v>46</v>
      </c>
      <c r="C15" s="26">
        <v>52343</v>
      </c>
      <c r="D15" t="s">
        <v>43</v>
      </c>
      <c r="E15" t="s">
        <v>43</v>
      </c>
      <c r="F15" t="s">
        <v>32</v>
      </c>
      <c r="G15" t="s">
        <v>33</v>
      </c>
      <c r="H15" t="s">
        <v>34</v>
      </c>
      <c r="J15" s="27">
        <v>3463.2764177939193</v>
      </c>
      <c r="K15" s="27">
        <v>2486.5747556086335</v>
      </c>
      <c r="L15" s="27">
        <v>2853.288756798434</v>
      </c>
      <c r="M15" s="27">
        <v>1713.736687527404</v>
      </c>
      <c r="N15" s="28">
        <f t="shared" si="8"/>
        <v>10516.876617728391</v>
      </c>
      <c r="O15" s="27">
        <v>4207.7517258497683</v>
      </c>
      <c r="P15" s="27">
        <v>4681.3483006891365</v>
      </c>
      <c r="Q15" s="27">
        <v>8074.8436835371876</v>
      </c>
      <c r="R15" s="27">
        <v>3128.7995042154212</v>
      </c>
      <c r="S15" s="27">
        <v>3466.2205018939503</v>
      </c>
      <c r="T15" s="27">
        <v>2996.5987817392793</v>
      </c>
      <c r="U15" s="27">
        <v>2766.2044268671598</v>
      </c>
      <c r="V15" s="27">
        <v>2735.1416735904722</v>
      </c>
      <c r="W15" s="27">
        <v>3816.4493646676056</v>
      </c>
      <c r="X15" s="27">
        <v>2740.1470461563872</v>
      </c>
      <c r="Y15" s="27">
        <v>3144.2572724336796</v>
      </c>
      <c r="Z15" s="27">
        <v>1888.4976257505027</v>
      </c>
      <c r="AA15" s="28">
        <f t="shared" si="9"/>
        <v>43646.259907390544</v>
      </c>
      <c r="AB15" s="29"/>
      <c r="AC15" s="27">
        <v>35728.564863942258</v>
      </c>
      <c r="AD15" s="27">
        <v>25652.514188109762</v>
      </c>
      <c r="AE15" s="27">
        <v>29435.684630615619</v>
      </c>
      <c r="AF15" s="27">
        <v>17679.603073393435</v>
      </c>
      <c r="AG15" s="28">
        <f t="shared" si="10"/>
        <v>108496.36675606108</v>
      </c>
      <c r="AH15" s="27">
        <v>43278.418228865863</v>
      </c>
      <c r="AI15" s="27">
        <v>48149.549410807689</v>
      </c>
      <c r="AJ15" s="27">
        <v>83053.013779766727</v>
      </c>
      <c r="AK15" s="27">
        <v>32180.960836123635</v>
      </c>
      <c r="AL15" s="27">
        <v>37072.751217156358</v>
      </c>
      <c r="AM15" s="27">
        <v>32054.072184259574</v>
      </c>
      <c r="AN15" s="27">
        <v>29589.585671443747</v>
      </c>
      <c r="AO15" s="27">
        <v>29257.313048949098</v>
      </c>
      <c r="AP15" s="27">
        <v>40823.864765647035</v>
      </c>
      <c r="AQ15" s="27">
        <v>29310.854608971928</v>
      </c>
      <c r="AR15" s="27">
        <v>33633.54820493322</v>
      </c>
      <c r="AS15" s="27">
        <v>20200.915646262922</v>
      </c>
      <c r="AT15" s="28">
        <f t="shared" si="11"/>
        <v>458604.84760318784</v>
      </c>
      <c r="AU15" s="30">
        <f t="shared" si="12"/>
        <v>10.316405782793705</v>
      </c>
      <c r="AV15" s="30">
        <f t="shared" si="6"/>
        <v>10.31640578279371</v>
      </c>
      <c r="AW15" s="30">
        <f t="shared" si="6"/>
        <v>10.316405782793703</v>
      </c>
      <c r="AX15" s="30">
        <f t="shared" si="6"/>
        <v>10.316405782793703</v>
      </c>
      <c r="AY15" s="31">
        <f t="shared" si="6"/>
        <v>10.316405782793705</v>
      </c>
      <c r="AZ15" s="30">
        <f t="shared" si="6"/>
        <v>10.285402050456209</v>
      </c>
      <c r="BA15" s="30">
        <f t="shared" si="6"/>
        <v>10.285402050456199</v>
      </c>
      <c r="BB15" s="30">
        <f t="shared" si="6"/>
        <v>10.285402050456206</v>
      </c>
      <c r="BC15" s="30">
        <f t="shared" si="6"/>
        <v>10.2854020504562</v>
      </c>
      <c r="BD15" s="30">
        <f t="shared" si="6"/>
        <v>10.695439368874464</v>
      </c>
      <c r="BE15" s="30">
        <f t="shared" si="6"/>
        <v>10.696818132474451</v>
      </c>
      <c r="BF15" s="30">
        <f t="shared" si="6"/>
        <v>10.696818132474457</v>
      </c>
      <c r="BG15" s="30">
        <f t="shared" si="6"/>
        <v>10.696818132474458</v>
      </c>
      <c r="BH15" s="30">
        <f t="shared" si="6"/>
        <v>10.69681813247445</v>
      </c>
      <c r="BI15" s="30">
        <f t="shared" si="6"/>
        <v>10.696818132474442</v>
      </c>
      <c r="BJ15" s="30">
        <f t="shared" si="6"/>
        <v>10.696818132474444</v>
      </c>
      <c r="BK15" s="30">
        <f t="shared" si="6"/>
        <v>10.696818132474448</v>
      </c>
      <c r="BL15" s="31">
        <f t="shared" si="7"/>
        <v>10.507311475857593</v>
      </c>
    </row>
    <row r="16" spans="2:64" ht="15" x14ac:dyDescent="0.4">
      <c r="B16" t="s">
        <v>47</v>
      </c>
      <c r="C16" s="26">
        <v>51772</v>
      </c>
      <c r="D16" t="s">
        <v>48</v>
      </c>
      <c r="E16" t="s">
        <v>48</v>
      </c>
      <c r="F16" t="s">
        <v>32</v>
      </c>
      <c r="G16" t="s">
        <v>33</v>
      </c>
      <c r="H16" t="s">
        <v>34</v>
      </c>
      <c r="J16" s="27">
        <v>34649.698373320512</v>
      </c>
      <c r="K16" s="27">
        <v>40127.209822862824</v>
      </c>
      <c r="L16" s="27">
        <v>44560.168519592058</v>
      </c>
      <c r="M16" s="27">
        <v>25571.433080392628</v>
      </c>
      <c r="N16" s="28">
        <f t="shared" si="8"/>
        <v>144908.50979616801</v>
      </c>
      <c r="O16" s="27">
        <v>31884.300831327106</v>
      </c>
      <c r="P16" s="27">
        <v>44536.224080245927</v>
      </c>
      <c r="Q16" s="27">
        <v>51409.120146019042</v>
      </c>
      <c r="R16" s="27">
        <v>26510.531736014447</v>
      </c>
      <c r="S16" s="27">
        <v>28239.601677004921</v>
      </c>
      <c r="T16" s="27">
        <v>26092.811376347407</v>
      </c>
      <c r="U16" s="27">
        <v>18231.928887889429</v>
      </c>
      <c r="V16" s="27">
        <v>16383.483500910655</v>
      </c>
      <c r="W16" s="27">
        <v>37214.967332326843</v>
      </c>
      <c r="X16" s="27">
        <v>43098.002949575406</v>
      </c>
      <c r="Y16" s="27">
        <v>47859.152997893216</v>
      </c>
      <c r="Z16" s="27">
        <v>27464.59829100089</v>
      </c>
      <c r="AA16" s="28">
        <f t="shared" si="9"/>
        <v>398924.72380655532</v>
      </c>
      <c r="AB16" s="29"/>
      <c r="AC16" s="27">
        <v>204315.93016743538</v>
      </c>
      <c r="AD16" s="27">
        <v>236614.70618442193</v>
      </c>
      <c r="AE16" s="27">
        <v>262754.15680121112</v>
      </c>
      <c r="AF16" s="27">
        <v>150784.89513079336</v>
      </c>
      <c r="AG16" s="28">
        <f t="shared" si="10"/>
        <v>854469.68828386185</v>
      </c>
      <c r="AH16" s="27">
        <v>189319.36237285213</v>
      </c>
      <c r="AI16" s="27">
        <v>264442.66694041475</v>
      </c>
      <c r="AJ16" s="27">
        <v>305251.85098714847</v>
      </c>
      <c r="AK16" s="27">
        <v>157411.54215607775</v>
      </c>
      <c r="AL16" s="27">
        <v>169786.40768577767</v>
      </c>
      <c r="AM16" s="27">
        <v>161128.49442597511</v>
      </c>
      <c r="AN16" s="27">
        <v>112585.92298911937</v>
      </c>
      <c r="AO16" s="27">
        <v>101171.39130310449</v>
      </c>
      <c r="AP16" s="27">
        <v>229810.10247923213</v>
      </c>
      <c r="AQ16" s="27">
        <v>266139.06136332237</v>
      </c>
      <c r="AR16" s="27">
        <v>295540.14536138554</v>
      </c>
      <c r="AS16" s="27">
        <v>169599.56168826832</v>
      </c>
      <c r="AT16" s="28">
        <f t="shared" si="11"/>
        <v>2422186.5097526778</v>
      </c>
      <c r="AU16" s="30">
        <f t="shared" si="12"/>
        <v>5.8966149709618838</v>
      </c>
      <c r="AV16" s="30">
        <f t="shared" si="6"/>
        <v>5.89661497096189</v>
      </c>
      <c r="AW16" s="30">
        <f t="shared" si="6"/>
        <v>5.8966149709618874</v>
      </c>
      <c r="AX16" s="30">
        <f t="shared" si="6"/>
        <v>5.8966149709618927</v>
      </c>
      <c r="AY16" s="31">
        <f t="shared" si="6"/>
        <v>5.8966149709618891</v>
      </c>
      <c r="AZ16" s="30">
        <f t="shared" si="6"/>
        <v>5.937698410712561</v>
      </c>
      <c r="BA16" s="30">
        <f t="shared" si="6"/>
        <v>5.9376984107125619</v>
      </c>
      <c r="BB16" s="30">
        <f t="shared" si="6"/>
        <v>5.9376984107125628</v>
      </c>
      <c r="BC16" s="30">
        <f t="shared" si="6"/>
        <v>5.9376984107125557</v>
      </c>
      <c r="BD16" s="30">
        <f t="shared" si="6"/>
        <v>6.0123513648576763</v>
      </c>
      <c r="BE16" s="30">
        <f t="shared" si="6"/>
        <v>6.1752063471410654</v>
      </c>
      <c r="BF16" s="30">
        <f t="shared" si="6"/>
        <v>6.1752063471410663</v>
      </c>
      <c r="BG16" s="30">
        <f t="shared" si="6"/>
        <v>6.1752063471410708</v>
      </c>
      <c r="BH16" s="30">
        <f t="shared" si="6"/>
        <v>6.1752063471410654</v>
      </c>
      <c r="BI16" s="30">
        <f t="shared" si="6"/>
        <v>6.1752063471410645</v>
      </c>
      <c r="BJ16" s="30">
        <f t="shared" si="6"/>
        <v>6.1752063471410654</v>
      </c>
      <c r="BK16" s="30">
        <f t="shared" si="6"/>
        <v>6.1752063471410645</v>
      </c>
      <c r="BL16" s="31">
        <f t="shared" si="7"/>
        <v>6.0717883981721643</v>
      </c>
    </row>
    <row r="17" spans="2:64" ht="15" x14ac:dyDescent="0.4">
      <c r="B17" t="s">
        <v>49</v>
      </c>
      <c r="C17" s="26">
        <v>52693</v>
      </c>
      <c r="D17" t="s">
        <v>48</v>
      </c>
      <c r="E17" t="s">
        <v>48</v>
      </c>
      <c r="F17" t="s">
        <v>32</v>
      </c>
      <c r="G17" t="s">
        <v>33</v>
      </c>
      <c r="H17" t="s">
        <v>34</v>
      </c>
      <c r="J17" s="27">
        <v>44913.581669411673</v>
      </c>
      <c r="K17" s="27">
        <v>52013.633600125781</v>
      </c>
      <c r="L17" s="27">
        <v>57759.71687962638</v>
      </c>
      <c r="M17" s="27">
        <v>33146.165824763208</v>
      </c>
      <c r="N17" s="28">
        <f t="shared" si="8"/>
        <v>187833.09797392704</v>
      </c>
      <c r="O17" s="27">
        <v>52600.863978620306</v>
      </c>
      <c r="P17" s="27">
        <v>73473.270665689706</v>
      </c>
      <c r="Q17" s="27">
        <v>84811.77462120766</v>
      </c>
      <c r="R17" s="27">
        <v>43735.532456050772</v>
      </c>
      <c r="S17" s="27">
        <v>46588.051420060867</v>
      </c>
      <c r="T17" s="27">
        <v>43046.401716249296</v>
      </c>
      <c r="U17" s="27">
        <v>30077.975257261875</v>
      </c>
      <c r="V17" s="27">
        <v>27028.517629611855</v>
      </c>
      <c r="W17" s="27">
        <v>61395.08734948311</v>
      </c>
      <c r="X17" s="27">
        <v>71100.577142761787</v>
      </c>
      <c r="Y17" s="27">
        <v>78955.245413464479</v>
      </c>
      <c r="Z17" s="27">
        <v>45309.495935785781</v>
      </c>
      <c r="AA17" s="28">
        <f t="shared" si="9"/>
        <v>658122.7935862476</v>
      </c>
      <c r="AB17" s="29"/>
      <c r="AC17" s="27">
        <v>335253.13742704637</v>
      </c>
      <c r="AD17" s="27">
        <v>388250.7964244358</v>
      </c>
      <c r="AE17" s="27">
        <v>431141.88584030495</v>
      </c>
      <c r="AF17" s="27">
        <v>247416.38661155975</v>
      </c>
      <c r="AG17" s="28">
        <f t="shared" si="10"/>
        <v>1402062.2063033467</v>
      </c>
      <c r="AH17" s="27">
        <v>401311.25120016001</v>
      </c>
      <c r="AI17" s="27">
        <v>560554.48428756651</v>
      </c>
      <c r="AJ17" s="27">
        <v>647060.08257918968</v>
      </c>
      <c r="AK17" s="27">
        <v>333674.39095633104</v>
      </c>
      <c r="AL17" s="27">
        <v>364729.04113088589</v>
      </c>
      <c r="AM17" s="27">
        <v>341553.43062447669</v>
      </c>
      <c r="AN17" s="27">
        <v>238654.92179983878</v>
      </c>
      <c r="AO17" s="27">
        <v>214458.87584149154</v>
      </c>
      <c r="AP17" s="27">
        <v>487141.82537096128</v>
      </c>
      <c r="AQ17" s="27">
        <v>564150.43010025786</v>
      </c>
      <c r="AR17" s="27">
        <v>626473.61594886857</v>
      </c>
      <c r="AS17" s="27">
        <v>359510.04403909657</v>
      </c>
      <c r="AT17" s="28">
        <f t="shared" si="11"/>
        <v>5139272.393879124</v>
      </c>
      <c r="AU17" s="30">
        <f t="shared" si="12"/>
        <v>7.4644044176813003</v>
      </c>
      <c r="AV17" s="30">
        <f t="shared" si="6"/>
        <v>7.4644044176813082</v>
      </c>
      <c r="AW17" s="30">
        <f t="shared" si="6"/>
        <v>7.4644044176813109</v>
      </c>
      <c r="AX17" s="30">
        <f t="shared" si="6"/>
        <v>7.46440441768131</v>
      </c>
      <c r="AY17" s="31">
        <f t="shared" si="6"/>
        <v>7.4644044176813065</v>
      </c>
      <c r="AZ17" s="30">
        <f t="shared" si="6"/>
        <v>7.6293661519185987</v>
      </c>
      <c r="BA17" s="30">
        <f t="shared" si="6"/>
        <v>7.629366151918596</v>
      </c>
      <c r="BB17" s="30">
        <f t="shared" si="6"/>
        <v>7.629366151918588</v>
      </c>
      <c r="BC17" s="30">
        <f t="shared" si="6"/>
        <v>7.6293661519185987</v>
      </c>
      <c r="BD17" s="30">
        <f t="shared" si="6"/>
        <v>7.8288108219489336</v>
      </c>
      <c r="BE17" s="30">
        <f t="shared" si="6"/>
        <v>7.9345407979953402</v>
      </c>
      <c r="BF17" s="30">
        <f t="shared" si="6"/>
        <v>7.934540797995342</v>
      </c>
      <c r="BG17" s="30">
        <f t="shared" si="6"/>
        <v>7.9345407979953393</v>
      </c>
      <c r="BH17" s="30">
        <f t="shared" si="6"/>
        <v>7.9345407979953393</v>
      </c>
      <c r="BI17" s="30">
        <f t="shared" si="6"/>
        <v>7.9345407979953331</v>
      </c>
      <c r="BJ17" s="30">
        <f t="shared" si="6"/>
        <v>7.9345407979953428</v>
      </c>
      <c r="BK17" s="30">
        <f t="shared" si="6"/>
        <v>7.9345407979953455</v>
      </c>
      <c r="BL17" s="31">
        <f t="shared" si="7"/>
        <v>7.8089870825992254</v>
      </c>
    </row>
    <row r="18" spans="2:64" ht="15" x14ac:dyDescent="0.4">
      <c r="B18" t="s">
        <v>50</v>
      </c>
      <c r="C18" s="26">
        <v>50008</v>
      </c>
      <c r="D18" t="s">
        <v>48</v>
      </c>
      <c r="E18" t="s">
        <v>48</v>
      </c>
      <c r="F18" t="s">
        <v>32</v>
      </c>
      <c r="G18" t="s">
        <v>33</v>
      </c>
      <c r="H18" t="s">
        <v>34</v>
      </c>
      <c r="J18" s="27">
        <v>122861.96495727281</v>
      </c>
      <c r="K18" s="27">
        <v>142284.29332838801</v>
      </c>
      <c r="L18" s="27">
        <v>158002.81445912155</v>
      </c>
      <c r="M18" s="27">
        <v>90671.972990377544</v>
      </c>
      <c r="N18" s="28">
        <f t="shared" si="8"/>
        <v>513821.04573515989</v>
      </c>
      <c r="O18" s="27">
        <v>102809.9169193139</v>
      </c>
      <c r="P18" s="27">
        <v>143605.64221910998</v>
      </c>
      <c r="Q18" s="27">
        <v>165767.07763070174</v>
      </c>
      <c r="R18" s="27">
        <v>85482.368883828953</v>
      </c>
      <c r="S18" s="27">
        <v>91057.700076484776</v>
      </c>
      <c r="T18" s="27">
        <v>84135.442830782922</v>
      </c>
      <c r="U18" s="27">
        <v>58788.276530156319</v>
      </c>
      <c r="V18" s="27">
        <v>52828.022997532011</v>
      </c>
      <c r="W18" s="27">
        <v>119998.4820063013</v>
      </c>
      <c r="X18" s="27">
        <v>138968.14379196696</v>
      </c>
      <c r="Y18" s="27">
        <v>154320.32113772185</v>
      </c>
      <c r="Z18" s="27">
        <v>88558.726235133392</v>
      </c>
      <c r="AA18" s="28">
        <f t="shared" si="9"/>
        <v>1286320.1212590341</v>
      </c>
      <c r="AB18" s="29"/>
      <c r="AC18" s="27">
        <v>1113418.1221249218</v>
      </c>
      <c r="AD18" s="27">
        <v>1289430.0586895158</v>
      </c>
      <c r="AE18" s="27">
        <v>1431876.7978902815</v>
      </c>
      <c r="AF18" s="27">
        <v>821701.14999720978</v>
      </c>
      <c r="AG18" s="28">
        <f t="shared" si="10"/>
        <v>4656426.128701929</v>
      </c>
      <c r="AH18" s="27">
        <v>943552.86450456758</v>
      </c>
      <c r="AI18" s="27">
        <v>1317961.5268165292</v>
      </c>
      <c r="AJ18" s="27">
        <v>1521351.3017596488</v>
      </c>
      <c r="AK18" s="27">
        <v>784526.78926171421</v>
      </c>
      <c r="AL18" s="27">
        <v>857818.65897457162</v>
      </c>
      <c r="AM18" s="27">
        <v>803051.78806548938</v>
      </c>
      <c r="AN18" s="27">
        <v>561119.41646021185</v>
      </c>
      <c r="AO18" s="27">
        <v>504230.28513033659</v>
      </c>
      <c r="AP18" s="27">
        <v>1145355.5398064337</v>
      </c>
      <c r="AQ18" s="27">
        <v>1326416.2236684621</v>
      </c>
      <c r="AR18" s="27">
        <v>1472948.9220581658</v>
      </c>
      <c r="AS18" s="27">
        <v>845270.92339622218</v>
      </c>
      <c r="AT18" s="28">
        <f t="shared" si="11"/>
        <v>12083604.239902353</v>
      </c>
      <c r="AU18" s="30">
        <f t="shared" si="12"/>
        <v>9.0623499511189696</v>
      </c>
      <c r="AV18" s="30">
        <f t="shared" si="6"/>
        <v>9.0623499511189802</v>
      </c>
      <c r="AW18" s="30">
        <f t="shared" si="6"/>
        <v>9.0623499511189802</v>
      </c>
      <c r="AX18" s="30">
        <f t="shared" si="6"/>
        <v>9.0623499511189838</v>
      </c>
      <c r="AY18" s="31">
        <f t="shared" si="6"/>
        <v>9.0623499511189785</v>
      </c>
      <c r="AZ18" s="30">
        <f t="shared" si="6"/>
        <v>9.1776444605540917</v>
      </c>
      <c r="BA18" s="30">
        <f t="shared" si="6"/>
        <v>9.1776444605541041</v>
      </c>
      <c r="BB18" s="30">
        <f t="shared" si="6"/>
        <v>9.1776444605540846</v>
      </c>
      <c r="BC18" s="30">
        <f t="shared" si="6"/>
        <v>9.1776444605540917</v>
      </c>
      <c r="BD18" s="30">
        <f t="shared" si="6"/>
        <v>9.4206053771843425</v>
      </c>
      <c r="BE18" s="30">
        <f t="shared" si="6"/>
        <v>9.5447502389762668</v>
      </c>
      <c r="BF18" s="30">
        <f t="shared" si="6"/>
        <v>9.544750238976258</v>
      </c>
      <c r="BG18" s="30">
        <f t="shared" si="6"/>
        <v>9.5447502389762526</v>
      </c>
      <c r="BH18" s="30">
        <f t="shared" si="6"/>
        <v>9.5447502389762668</v>
      </c>
      <c r="BI18" s="30">
        <f t="shared" si="6"/>
        <v>9.5447502389762473</v>
      </c>
      <c r="BJ18" s="30">
        <f t="shared" si="6"/>
        <v>9.5447502389762722</v>
      </c>
      <c r="BK18" s="30">
        <f t="shared" si="6"/>
        <v>9.5447502389762544</v>
      </c>
      <c r="BL18" s="31">
        <f t="shared" si="7"/>
        <v>9.3939323813694777</v>
      </c>
    </row>
    <row r="19" spans="2:64" ht="15" x14ac:dyDescent="0.4">
      <c r="B19" t="s">
        <v>51</v>
      </c>
      <c r="C19" s="26">
        <v>53201</v>
      </c>
      <c r="D19" t="s">
        <v>52</v>
      </c>
      <c r="E19" t="s">
        <v>52</v>
      </c>
      <c r="F19" t="s">
        <v>53</v>
      </c>
      <c r="G19" t="s">
        <v>33</v>
      </c>
      <c r="H19" t="s">
        <v>34</v>
      </c>
      <c r="J19" s="27">
        <v>3322.3501057902631</v>
      </c>
      <c r="K19" s="27">
        <v>1059.6208533599354</v>
      </c>
      <c r="L19" s="27">
        <v>2102.4659323236106</v>
      </c>
      <c r="M19" s="27">
        <v>1599.1393593407583</v>
      </c>
      <c r="N19" s="28">
        <f t="shared" si="8"/>
        <v>8083.5762508145681</v>
      </c>
      <c r="O19" s="27">
        <v>1564.6908489739237</v>
      </c>
      <c r="P19" s="27">
        <v>2479.4674335091763</v>
      </c>
      <c r="Q19" s="27">
        <v>4416.3504316384278</v>
      </c>
      <c r="R19" s="27">
        <v>3710.0509113808771</v>
      </c>
      <c r="S19" s="27">
        <v>3582.9367820348043</v>
      </c>
      <c r="T19" s="27">
        <v>2295.7207445906333</v>
      </c>
      <c r="U19" s="27">
        <v>3503.7995808854985</v>
      </c>
      <c r="V19" s="27">
        <v>2258.8724853054878</v>
      </c>
      <c r="W19" s="27">
        <v>3080.6628584903065</v>
      </c>
      <c r="X19" s="27">
        <v>982.53781301934555</v>
      </c>
      <c r="Y19" s="27">
        <v>1949.5202199377809</v>
      </c>
      <c r="Z19" s="27">
        <v>1482.8085761597515</v>
      </c>
      <c r="AA19" s="28">
        <f t="shared" si="9"/>
        <v>31307.418685926015</v>
      </c>
      <c r="AB19" s="29"/>
      <c r="AC19" s="27">
        <v>29015.135201359411</v>
      </c>
      <c r="AD19" s="27">
        <v>9254.0043473549722</v>
      </c>
      <c r="AE19" s="27">
        <v>18361.500546346342</v>
      </c>
      <c r="AF19" s="27">
        <v>13965.790250769107</v>
      </c>
      <c r="AG19" s="28">
        <f t="shared" si="10"/>
        <v>70596.430345829824</v>
      </c>
      <c r="AH19" s="27">
        <v>13557.1081173825</v>
      </c>
      <c r="AI19" s="27">
        <v>21483.098780603264</v>
      </c>
      <c r="AJ19" s="27">
        <v>38265.028727709272</v>
      </c>
      <c r="AK19" s="27">
        <v>32145.366836885125</v>
      </c>
      <c r="AL19" s="27">
        <v>32272.848176448875</v>
      </c>
      <c r="AM19" s="27">
        <v>20686.68563929322</v>
      </c>
      <c r="AN19" s="27">
        <v>31572.655621836289</v>
      </c>
      <c r="AO19" s="27">
        <v>20354.646841463345</v>
      </c>
      <c r="AP19" s="27">
        <v>27759.780567561742</v>
      </c>
      <c r="AQ19" s="27">
        <v>8853.6251260273548</v>
      </c>
      <c r="AR19" s="27">
        <v>17567.080853507738</v>
      </c>
      <c r="AS19" s="27">
        <v>13361.553207437055</v>
      </c>
      <c r="AT19" s="28">
        <f t="shared" si="11"/>
        <v>277879.47849615576</v>
      </c>
      <c r="AU19" s="30">
        <f t="shared" si="12"/>
        <v>8.7333165613073742</v>
      </c>
      <c r="AV19" s="30">
        <f t="shared" si="6"/>
        <v>8.7333165613073707</v>
      </c>
      <c r="AW19" s="30">
        <f t="shared" si="6"/>
        <v>8.733316561307376</v>
      </c>
      <c r="AX19" s="30">
        <f t="shared" si="6"/>
        <v>8.7333165613073724</v>
      </c>
      <c r="AY19" s="31">
        <f t="shared" si="6"/>
        <v>8.7333165613073724</v>
      </c>
      <c r="AZ19" s="30">
        <f t="shared" si="6"/>
        <v>8.6644004636908534</v>
      </c>
      <c r="BA19" s="30">
        <f t="shared" si="6"/>
        <v>8.664400463690848</v>
      </c>
      <c r="BB19" s="30">
        <f t="shared" si="6"/>
        <v>8.664400463690848</v>
      </c>
      <c r="BC19" s="30">
        <f t="shared" si="6"/>
        <v>8.664400463690848</v>
      </c>
      <c r="BD19" s="30">
        <f t="shared" si="6"/>
        <v>9.0073730405370522</v>
      </c>
      <c r="BE19" s="30">
        <f t="shared" si="6"/>
        <v>9.010976482238485</v>
      </c>
      <c r="BF19" s="30">
        <f t="shared" si="6"/>
        <v>9.010976482238485</v>
      </c>
      <c r="BG19" s="30">
        <f t="shared" si="6"/>
        <v>9.0109764822384832</v>
      </c>
      <c r="BH19" s="30">
        <f t="shared" si="6"/>
        <v>9.0109764822384868</v>
      </c>
      <c r="BI19" s="30">
        <f t="shared" si="6"/>
        <v>9.0109764822384832</v>
      </c>
      <c r="BJ19" s="30">
        <f t="shared" si="6"/>
        <v>9.0109764822384832</v>
      </c>
      <c r="BK19" s="30">
        <f t="shared" si="6"/>
        <v>9.010976482238485</v>
      </c>
      <c r="BL19" s="31">
        <f t="shared" si="7"/>
        <v>8.8758348710835779</v>
      </c>
    </row>
    <row r="20" spans="2:64" ht="15" x14ac:dyDescent="0.4">
      <c r="B20" t="s">
        <v>54</v>
      </c>
      <c r="C20" s="26">
        <v>51650</v>
      </c>
      <c r="D20" t="s">
        <v>52</v>
      </c>
      <c r="E20" t="s">
        <v>52</v>
      </c>
      <c r="F20" t="s">
        <v>53</v>
      </c>
      <c r="G20" t="s">
        <v>33</v>
      </c>
      <c r="H20" t="s">
        <v>34</v>
      </c>
      <c r="J20" s="27">
        <v>7121.1448128162101</v>
      </c>
      <c r="K20" s="27">
        <v>2271.1975870048004</v>
      </c>
      <c r="L20" s="27">
        <v>4506.4378802208776</v>
      </c>
      <c r="M20" s="27">
        <v>3427.604734941372</v>
      </c>
      <c r="N20" s="28">
        <f t="shared" si="8"/>
        <v>17326.385014983261</v>
      </c>
      <c r="O20" s="27">
        <v>1915.6735634450481</v>
      </c>
      <c r="P20" s="27">
        <v>3035.6477235814855</v>
      </c>
      <c r="Q20" s="27">
        <v>5407.0015008695527</v>
      </c>
      <c r="R20" s="27">
        <v>4542.2688159953541</v>
      </c>
      <c r="S20" s="27">
        <v>4386.6411549220611</v>
      </c>
      <c r="T20" s="27">
        <v>2810.6840033918734</v>
      </c>
      <c r="U20" s="27">
        <v>4289.7523386896546</v>
      </c>
      <c r="V20" s="27">
        <v>2765.5701483336607</v>
      </c>
      <c r="W20" s="27">
        <v>3771.6999493970266</v>
      </c>
      <c r="X20" s="27">
        <v>1202.9352090354316</v>
      </c>
      <c r="Y20" s="27">
        <v>2386.8257101301811</v>
      </c>
      <c r="Z20" s="27">
        <v>1815.4239163995842</v>
      </c>
      <c r="AA20" s="28">
        <f t="shared" si="9"/>
        <v>38330.124034190907</v>
      </c>
      <c r="AB20" s="29"/>
      <c r="AC20" s="27">
        <v>92125.376397438478</v>
      </c>
      <c r="AD20" s="27">
        <v>29382.204417357556</v>
      </c>
      <c r="AE20" s="27">
        <v>58299.233738351737</v>
      </c>
      <c r="AF20" s="27">
        <v>44342.501753343597</v>
      </c>
      <c r="AG20" s="28">
        <f t="shared" si="10"/>
        <v>224149.31630649135</v>
      </c>
      <c r="AH20" s="27">
        <v>24857.398929842999</v>
      </c>
      <c r="AI20" s="27">
        <v>39389.960750846483</v>
      </c>
      <c r="AJ20" s="27">
        <v>70160.175452684707</v>
      </c>
      <c r="AK20" s="27">
        <v>58939.576220247247</v>
      </c>
      <c r="AL20" s="27">
        <v>58051.269597304803</v>
      </c>
      <c r="AM20" s="27">
        <v>37929.711338132096</v>
      </c>
      <c r="AN20" s="27">
        <v>57889.491569390841</v>
      </c>
      <c r="AO20" s="27">
        <v>37320.907396585004</v>
      </c>
      <c r="AP20" s="27">
        <v>50898.461072833328</v>
      </c>
      <c r="AQ20" s="27">
        <v>16233.409797091335</v>
      </c>
      <c r="AR20" s="27">
        <v>32209.814440334907</v>
      </c>
      <c r="AS20" s="27">
        <v>24498.842638404196</v>
      </c>
      <c r="AT20" s="28">
        <f t="shared" si="11"/>
        <v>508379.01920369803</v>
      </c>
      <c r="AU20" s="30">
        <f t="shared" si="12"/>
        <v>12.936877260470359</v>
      </c>
      <c r="AV20" s="30">
        <f t="shared" si="6"/>
        <v>12.936877260470361</v>
      </c>
      <c r="AW20" s="30">
        <f t="shared" si="6"/>
        <v>12.936877260470363</v>
      </c>
      <c r="AX20" s="30">
        <f t="shared" si="6"/>
        <v>12.936877260470368</v>
      </c>
      <c r="AY20" s="31">
        <f t="shared" si="6"/>
        <v>12.936877260470361</v>
      </c>
      <c r="AZ20" s="30">
        <f t="shared" si="6"/>
        <v>12.975800994581112</v>
      </c>
      <c r="BA20" s="30">
        <f t="shared" si="6"/>
        <v>12.975800994581098</v>
      </c>
      <c r="BB20" s="30">
        <f t="shared" si="6"/>
        <v>12.975800994581112</v>
      </c>
      <c r="BC20" s="30">
        <f t="shared" si="6"/>
        <v>12.975800994581103</v>
      </c>
      <c r="BD20" s="30">
        <f t="shared" si="6"/>
        <v>13.233649060208167</v>
      </c>
      <c r="BE20" s="30">
        <f t="shared" si="6"/>
        <v>13.494833034364351</v>
      </c>
      <c r="BF20" s="30">
        <f t="shared" si="6"/>
        <v>13.494833034364341</v>
      </c>
      <c r="BG20" s="30">
        <f t="shared" si="6"/>
        <v>13.494833034364351</v>
      </c>
      <c r="BH20" s="30">
        <f t="shared" si="6"/>
        <v>13.494833034364346</v>
      </c>
      <c r="BI20" s="30">
        <f t="shared" si="6"/>
        <v>13.494833034364357</v>
      </c>
      <c r="BJ20" s="30">
        <f t="shared" si="6"/>
        <v>13.494833034364346</v>
      </c>
      <c r="BK20" s="30">
        <f t="shared" ref="BK20:BL83" si="13">IFERROR(AS20/Z20,0)</f>
        <v>13.494833034364341</v>
      </c>
      <c r="BL20" s="31">
        <f t="shared" si="7"/>
        <v>13.263171774508692</v>
      </c>
    </row>
    <row r="21" spans="2:64" ht="15" x14ac:dyDescent="0.4">
      <c r="B21" t="s">
        <v>55</v>
      </c>
      <c r="C21" s="26">
        <v>50015</v>
      </c>
      <c r="D21" t="s">
        <v>56</v>
      </c>
      <c r="E21" t="s">
        <v>56</v>
      </c>
      <c r="F21" t="s">
        <v>32</v>
      </c>
      <c r="G21" t="s">
        <v>33</v>
      </c>
      <c r="H21" t="s">
        <v>34</v>
      </c>
      <c r="J21" s="27">
        <v>7945.6763390424931</v>
      </c>
      <c r="K21" s="27">
        <v>5831.2113313278123</v>
      </c>
      <c r="L21" s="27">
        <v>3801.2566327628087</v>
      </c>
      <c r="M21" s="27">
        <v>3989.9109592484551</v>
      </c>
      <c r="N21" s="28">
        <f t="shared" si="8"/>
        <v>21568.055262381571</v>
      </c>
      <c r="O21" s="27">
        <v>8351.0817192105878</v>
      </c>
      <c r="P21" s="27">
        <v>6674.5193389616161</v>
      </c>
      <c r="Q21" s="27">
        <v>8421.7946963155373</v>
      </c>
      <c r="R21" s="27">
        <v>3567.6812294915944</v>
      </c>
      <c r="S21" s="27">
        <v>3083.267117101705</v>
      </c>
      <c r="T21" s="27">
        <v>4237.6413587295128</v>
      </c>
      <c r="U21" s="27">
        <v>3519.0282837057098</v>
      </c>
      <c r="V21" s="27">
        <v>4354.5897439415467</v>
      </c>
      <c r="W21" s="27">
        <v>5625.6101785715327</v>
      </c>
      <c r="X21" s="27">
        <v>4128.5499709735859</v>
      </c>
      <c r="Y21" s="27">
        <v>2691.3238209259816</v>
      </c>
      <c r="Z21" s="27">
        <v>2824.8927776797755</v>
      </c>
      <c r="AA21" s="28">
        <f t="shared" si="9"/>
        <v>57479.980235608688</v>
      </c>
      <c r="AB21" s="29"/>
      <c r="AC21" s="27">
        <v>67974.739884155453</v>
      </c>
      <c r="AD21" s="27">
        <v>49885.630441412308</v>
      </c>
      <c r="AE21" s="27">
        <v>32519.501149994008</v>
      </c>
      <c r="AF21" s="27">
        <v>34133.426538304964</v>
      </c>
      <c r="AG21" s="28">
        <f t="shared" si="10"/>
        <v>184513.2980138667</v>
      </c>
      <c r="AH21" s="27">
        <v>71993.233080704667</v>
      </c>
      <c r="AI21" s="27">
        <v>57539.878380804184</v>
      </c>
      <c r="AJ21" s="27">
        <v>72602.837442596661</v>
      </c>
      <c r="AK21" s="27">
        <v>30756.363660242427</v>
      </c>
      <c r="AL21" s="27">
        <v>27643.525797261696</v>
      </c>
      <c r="AM21" s="27">
        <v>37993.253185827773</v>
      </c>
      <c r="AN21" s="27">
        <v>31550.412418809407</v>
      </c>
      <c r="AO21" s="27">
        <v>39041.772688281977</v>
      </c>
      <c r="AP21" s="27">
        <v>50437.310226582747</v>
      </c>
      <c r="AQ21" s="27">
        <v>37015.176854081095</v>
      </c>
      <c r="AR21" s="27">
        <v>24129.495320044363</v>
      </c>
      <c r="AS21" s="27">
        <v>25327.029222072171</v>
      </c>
      <c r="AT21" s="28">
        <f t="shared" si="11"/>
        <v>506030.28827730916</v>
      </c>
      <c r="AU21" s="30">
        <f t="shared" si="12"/>
        <v>8.5549344050360432</v>
      </c>
      <c r="AV21" s="30">
        <f t="shared" si="12"/>
        <v>8.5549344050360396</v>
      </c>
      <c r="AW21" s="30">
        <f t="shared" si="12"/>
        <v>8.5549344050360414</v>
      </c>
      <c r="AX21" s="30">
        <f t="shared" si="12"/>
        <v>8.5549344050360414</v>
      </c>
      <c r="AY21" s="31">
        <f t="shared" si="12"/>
        <v>8.5549344050360396</v>
      </c>
      <c r="AZ21" s="30">
        <f t="shared" si="12"/>
        <v>8.6208272773925216</v>
      </c>
      <c r="BA21" s="30">
        <f t="shared" si="12"/>
        <v>8.6208272773925199</v>
      </c>
      <c r="BB21" s="30">
        <f t="shared" si="12"/>
        <v>8.6208272773925234</v>
      </c>
      <c r="BC21" s="30">
        <f t="shared" si="12"/>
        <v>8.6208272773925216</v>
      </c>
      <c r="BD21" s="30">
        <f t="shared" si="12"/>
        <v>8.9656603684882246</v>
      </c>
      <c r="BE21" s="30">
        <f t="shared" si="12"/>
        <v>8.965660368488221</v>
      </c>
      <c r="BF21" s="30">
        <f t="shared" si="12"/>
        <v>8.965660368488221</v>
      </c>
      <c r="BG21" s="30">
        <f t="shared" si="12"/>
        <v>8.9656603684882175</v>
      </c>
      <c r="BH21" s="30">
        <f t="shared" si="12"/>
        <v>8.9656603684882228</v>
      </c>
      <c r="BI21" s="30">
        <f t="shared" si="12"/>
        <v>8.9656603684882263</v>
      </c>
      <c r="BJ21" s="30">
        <f t="shared" si="12"/>
        <v>8.965660368488221</v>
      </c>
      <c r="BK21" s="30">
        <f t="shared" si="13"/>
        <v>8.965660368488221</v>
      </c>
      <c r="BL21" s="31">
        <f t="shared" si="7"/>
        <v>8.8035918976155951</v>
      </c>
    </row>
    <row r="22" spans="2:64" ht="15" x14ac:dyDescent="0.4">
      <c r="B22" t="s">
        <v>57</v>
      </c>
      <c r="C22" s="26">
        <v>52101</v>
      </c>
      <c r="D22" t="s">
        <v>56</v>
      </c>
      <c r="E22" t="s">
        <v>56</v>
      </c>
      <c r="F22" t="s">
        <v>32</v>
      </c>
      <c r="G22" t="s">
        <v>33</v>
      </c>
      <c r="H22" t="s">
        <v>34</v>
      </c>
      <c r="J22" s="27">
        <v>10238.031762850782</v>
      </c>
      <c r="K22" s="27">
        <v>7513.5362024101505</v>
      </c>
      <c r="L22" s="27">
        <v>4897.9324709899565</v>
      </c>
      <c r="M22" s="27">
        <v>5141.0142307224496</v>
      </c>
      <c r="N22" s="28">
        <f t="shared" si="8"/>
        <v>27790.514666973337</v>
      </c>
      <c r="O22" s="27">
        <v>10397.422609430216</v>
      </c>
      <c r="P22" s="27">
        <v>8310.0370245878476</v>
      </c>
      <c r="Q22" s="27">
        <v>10485.463025229261</v>
      </c>
      <c r="R22" s="27">
        <v>4441.9023458271467</v>
      </c>
      <c r="S22" s="27">
        <v>3838.7878734943561</v>
      </c>
      <c r="T22" s="27">
        <v>5276.0288493591443</v>
      </c>
      <c r="U22" s="27">
        <v>4381.3275298286553</v>
      </c>
      <c r="V22" s="27">
        <v>5421.6341524114159</v>
      </c>
      <c r="W22" s="27">
        <v>7004.1041902353145</v>
      </c>
      <c r="X22" s="27">
        <v>5140.2058147289899</v>
      </c>
      <c r="Y22" s="27">
        <v>3350.803175668012</v>
      </c>
      <c r="Z22" s="27">
        <v>3517.1017388439909</v>
      </c>
      <c r="AA22" s="28">
        <f t="shared" si="9"/>
        <v>71564.81832964436</v>
      </c>
      <c r="AB22" s="29"/>
      <c r="AC22" s="27">
        <v>150392.25515569779</v>
      </c>
      <c r="AD22" s="27">
        <v>110370.59464638718</v>
      </c>
      <c r="AE22" s="27">
        <v>71948.507972531414</v>
      </c>
      <c r="AF22" s="27">
        <v>75519.273807233723</v>
      </c>
      <c r="AG22" s="28">
        <f t="shared" si="10"/>
        <v>408230.63158185012</v>
      </c>
      <c r="AH22" s="27">
        <v>154260.45547070086</v>
      </c>
      <c r="AI22" s="27">
        <v>123291.14094378037</v>
      </c>
      <c r="AJ22" s="27">
        <v>155566.65943596754</v>
      </c>
      <c r="AK22" s="27">
        <v>65901.897495462094</v>
      </c>
      <c r="AL22" s="27">
        <v>59177.174173270403</v>
      </c>
      <c r="AM22" s="27">
        <v>81408.436466374653</v>
      </c>
      <c r="AN22" s="27">
        <v>67603.311891245306</v>
      </c>
      <c r="AO22" s="27">
        <v>83655.107286633356</v>
      </c>
      <c r="AP22" s="27">
        <v>108072.41341068471</v>
      </c>
      <c r="AQ22" s="27">
        <v>79312.704770991302</v>
      </c>
      <c r="AR22" s="27">
        <v>51702.455620732559</v>
      </c>
      <c r="AS22" s="27">
        <v>54268.420743611961</v>
      </c>
      <c r="AT22" s="28">
        <f t="shared" si="11"/>
        <v>1084220.1777094549</v>
      </c>
      <c r="AU22" s="30">
        <f t="shared" si="12"/>
        <v>14.689567158934173</v>
      </c>
      <c r="AV22" s="30">
        <f t="shared" si="12"/>
        <v>14.68956715893418</v>
      </c>
      <c r="AW22" s="30">
        <f t="shared" si="12"/>
        <v>14.689567158934182</v>
      </c>
      <c r="AX22" s="30">
        <f t="shared" si="12"/>
        <v>14.689567158934173</v>
      </c>
      <c r="AY22" s="31">
        <f t="shared" si="12"/>
        <v>14.689567158934178</v>
      </c>
      <c r="AZ22" s="30">
        <f t="shared" si="12"/>
        <v>14.836412952070477</v>
      </c>
      <c r="BA22" s="30">
        <f t="shared" si="12"/>
        <v>14.836412952070479</v>
      </c>
      <c r="BB22" s="30">
        <f t="shared" si="12"/>
        <v>14.83641295207048</v>
      </c>
      <c r="BC22" s="30">
        <f t="shared" si="12"/>
        <v>14.836412952070472</v>
      </c>
      <c r="BD22" s="30">
        <f t="shared" si="12"/>
        <v>15.415588493928123</v>
      </c>
      <c r="BE22" s="30">
        <f t="shared" si="12"/>
        <v>15.429869470153291</v>
      </c>
      <c r="BF22" s="30">
        <f t="shared" si="12"/>
        <v>15.429869470153292</v>
      </c>
      <c r="BG22" s="30">
        <f t="shared" si="12"/>
        <v>15.429869470153298</v>
      </c>
      <c r="BH22" s="30">
        <f t="shared" si="12"/>
        <v>15.429869470153303</v>
      </c>
      <c r="BI22" s="30">
        <f t="shared" si="12"/>
        <v>15.429869470153298</v>
      </c>
      <c r="BJ22" s="30">
        <f t="shared" si="12"/>
        <v>15.429869470153292</v>
      </c>
      <c r="BK22" s="30">
        <f t="shared" si="13"/>
        <v>15.429869470153294</v>
      </c>
      <c r="BL22" s="31">
        <f t="shared" si="7"/>
        <v>15.150184168920575</v>
      </c>
    </row>
    <row r="23" spans="2:64" ht="15" x14ac:dyDescent="0.4">
      <c r="B23" t="s">
        <v>58</v>
      </c>
      <c r="C23" s="26">
        <v>60791</v>
      </c>
      <c r="D23" t="s">
        <v>59</v>
      </c>
      <c r="E23" t="s">
        <v>59</v>
      </c>
      <c r="F23" t="s">
        <v>60</v>
      </c>
      <c r="G23" t="s">
        <v>33</v>
      </c>
      <c r="H23" t="s">
        <v>34</v>
      </c>
      <c r="J23" s="27">
        <v>2101.9422239542573</v>
      </c>
      <c r="K23" s="27">
        <v>1892.9888698335674</v>
      </c>
      <c r="L23" s="27">
        <v>2635.5598988147494</v>
      </c>
      <c r="M23" s="27">
        <v>1501.2733455339326</v>
      </c>
      <c r="N23" s="28">
        <f t="shared" si="8"/>
        <v>8131.7643381365069</v>
      </c>
      <c r="O23" s="27">
        <v>3349.0547135946958</v>
      </c>
      <c r="P23" s="27">
        <v>3187.082735362701</v>
      </c>
      <c r="Q23" s="27">
        <v>3838.3868385697601</v>
      </c>
      <c r="R23" s="27">
        <v>2740.2301938579271</v>
      </c>
      <c r="S23" s="27">
        <v>2364.5977931713487</v>
      </c>
      <c r="T23" s="27">
        <v>4072.2473426745514</v>
      </c>
      <c r="U23" s="27">
        <v>4039.4964749990313</v>
      </c>
      <c r="V23" s="27">
        <v>3691.1193315390187</v>
      </c>
      <c r="W23" s="27">
        <v>3522.3892377549323</v>
      </c>
      <c r="X23" s="27">
        <v>3172.2297341493145</v>
      </c>
      <c r="Y23" s="27">
        <v>4416.6141758069489</v>
      </c>
      <c r="Z23" s="27">
        <v>2515.8013455236373</v>
      </c>
      <c r="AA23" s="28">
        <f t="shared" si="9"/>
        <v>40909.249917003872</v>
      </c>
      <c r="AB23" s="29"/>
      <c r="AC23" s="27">
        <v>35485.780839988598</v>
      </c>
      <c r="AD23" s="27">
        <v>31958.151561883053</v>
      </c>
      <c r="AE23" s="27">
        <v>44494.515545750837</v>
      </c>
      <c r="AF23" s="27">
        <v>25345.062444348601</v>
      </c>
      <c r="AG23" s="28">
        <f t="shared" si="10"/>
        <v>137283.5103919711</v>
      </c>
      <c r="AH23" s="27">
        <v>56094.41458573228</v>
      </c>
      <c r="AI23" s="27">
        <v>53381.492858495229</v>
      </c>
      <c r="AJ23" s="27">
        <v>64290.398657609854</v>
      </c>
      <c r="AK23" s="27">
        <v>45897.01324694763</v>
      </c>
      <c r="AL23" s="27">
        <v>41107.352390145825</v>
      </c>
      <c r="AM23" s="27">
        <v>70935.701050421456</v>
      </c>
      <c r="AN23" s="27">
        <v>70365.20383768421</v>
      </c>
      <c r="AO23" s="27">
        <v>64296.717613306471</v>
      </c>
      <c r="AP23" s="27">
        <v>61357.557369907176</v>
      </c>
      <c r="AQ23" s="27">
        <v>55258.023678169637</v>
      </c>
      <c r="AR23" s="27">
        <v>76934.330473239504</v>
      </c>
      <c r="AS23" s="27">
        <v>43823.500178430855</v>
      </c>
      <c r="AT23" s="28">
        <f t="shared" si="11"/>
        <v>703741.70594009012</v>
      </c>
      <c r="AU23" s="30">
        <f t="shared" si="12"/>
        <v>16.882376896749967</v>
      </c>
      <c r="AV23" s="30">
        <f t="shared" si="12"/>
        <v>16.882376896749967</v>
      </c>
      <c r="AW23" s="30">
        <f t="shared" si="12"/>
        <v>16.882376896749978</v>
      </c>
      <c r="AX23" s="30">
        <f t="shared" si="12"/>
        <v>16.882376896749971</v>
      </c>
      <c r="AY23" s="31">
        <f t="shared" si="12"/>
        <v>16.882376896749971</v>
      </c>
      <c r="AZ23" s="30">
        <f t="shared" si="12"/>
        <v>16.749327611170479</v>
      </c>
      <c r="BA23" s="30">
        <f t="shared" si="12"/>
        <v>16.749327611170479</v>
      </c>
      <c r="BB23" s="30">
        <f t="shared" si="12"/>
        <v>16.749327611170482</v>
      </c>
      <c r="BC23" s="30">
        <f t="shared" si="12"/>
        <v>16.749327611170486</v>
      </c>
      <c r="BD23" s="30">
        <f t="shared" si="12"/>
        <v>17.38450086896745</v>
      </c>
      <c r="BE23" s="30">
        <f t="shared" si="12"/>
        <v>17.4193007156173</v>
      </c>
      <c r="BF23" s="30">
        <f t="shared" si="12"/>
        <v>17.419300715617307</v>
      </c>
      <c r="BG23" s="30">
        <f t="shared" si="12"/>
        <v>17.419300715617297</v>
      </c>
      <c r="BH23" s="30">
        <f t="shared" si="12"/>
        <v>17.4193007156173</v>
      </c>
      <c r="BI23" s="30">
        <f t="shared" si="12"/>
        <v>17.4193007156173</v>
      </c>
      <c r="BJ23" s="30">
        <f t="shared" si="12"/>
        <v>17.4193007156173</v>
      </c>
      <c r="BK23" s="30">
        <f t="shared" si="13"/>
        <v>17.419300715617297</v>
      </c>
      <c r="BL23" s="31">
        <f t="shared" si="7"/>
        <v>17.202508170348558</v>
      </c>
    </row>
    <row r="24" spans="2:64" ht="15" x14ac:dyDescent="0.4">
      <c r="B24" t="s">
        <v>61</v>
      </c>
      <c r="C24" s="26">
        <v>60802</v>
      </c>
      <c r="D24" t="s">
        <v>59</v>
      </c>
      <c r="E24" t="s">
        <v>59</v>
      </c>
      <c r="F24" t="s">
        <v>60</v>
      </c>
      <c r="G24" t="s">
        <v>33</v>
      </c>
      <c r="H24" t="s">
        <v>34</v>
      </c>
      <c r="J24" s="27">
        <v>2089.8438383438506</v>
      </c>
      <c r="K24" s="27">
        <v>1882.0931805789073</v>
      </c>
      <c r="L24" s="27">
        <v>2620.3901098491906</v>
      </c>
      <c r="M24" s="27">
        <v>1492.6322974433119</v>
      </c>
      <c r="N24" s="28">
        <f t="shared" si="8"/>
        <v>8084.9594262152605</v>
      </c>
      <c r="O24" s="27">
        <v>3069.9475844186572</v>
      </c>
      <c r="P24" s="27">
        <v>2921.4742013776549</v>
      </c>
      <c r="Q24" s="27">
        <v>3518.4992216755004</v>
      </c>
      <c r="R24" s="27">
        <v>2511.8619383067162</v>
      </c>
      <c r="S24" s="27">
        <v>2167.5343952432609</v>
      </c>
      <c r="T24" s="27">
        <v>3732.8700071849562</v>
      </c>
      <c r="U24" s="27">
        <v>3702.8485665975713</v>
      </c>
      <c r="V24" s="27">
        <v>3383.5048527757704</v>
      </c>
      <c r="W24" s="27">
        <v>3228.8365692961011</v>
      </c>
      <c r="X24" s="27">
        <v>2907.8590355783876</v>
      </c>
      <c r="Y24" s="27">
        <v>4048.5376262409536</v>
      </c>
      <c r="Z24" s="27">
        <v>2306.1367830797963</v>
      </c>
      <c r="AA24" s="28">
        <f t="shared" si="9"/>
        <v>37499.910781775332</v>
      </c>
      <c r="AB24" s="29"/>
      <c r="AC24" s="27">
        <v>54437.243482733262</v>
      </c>
      <c r="AD24" s="27">
        <v>49025.655816254504</v>
      </c>
      <c r="AE24" s="27">
        <v>68257.164393034574</v>
      </c>
      <c r="AF24" s="27">
        <v>38880.794016889558</v>
      </c>
      <c r="AG24" s="28">
        <f t="shared" si="10"/>
        <v>210600.85770891191</v>
      </c>
      <c r="AH24" s="27">
        <v>79065.826891448887</v>
      </c>
      <c r="AI24" s="27">
        <v>75241.927466882407</v>
      </c>
      <c r="AJ24" s="27">
        <v>90618.175955395927</v>
      </c>
      <c r="AK24" s="27">
        <v>64692.453446883999</v>
      </c>
      <c r="AL24" s="27">
        <v>57835.428417959047</v>
      </c>
      <c r="AM24" s="27">
        <v>99984.818472510597</v>
      </c>
      <c r="AN24" s="27">
        <v>99180.695028180795</v>
      </c>
      <c r="AO24" s="27">
        <v>90627.082607884193</v>
      </c>
      <c r="AP24" s="27">
        <v>86484.296971790784</v>
      </c>
      <c r="AQ24" s="27">
        <v>77886.922731394574</v>
      </c>
      <c r="AR24" s="27">
        <v>108439.96679758318</v>
      </c>
      <c r="AS24" s="27">
        <v>61769.809070554191</v>
      </c>
      <c r="AT24" s="28">
        <f t="shared" si="11"/>
        <v>991827.40385846852</v>
      </c>
      <c r="AU24" s="30">
        <f t="shared" si="12"/>
        <v>26.048474284984579</v>
      </c>
      <c r="AV24" s="30">
        <f t="shared" si="12"/>
        <v>26.048474284984579</v>
      </c>
      <c r="AW24" s="30">
        <f t="shared" si="12"/>
        <v>26.048474284984586</v>
      </c>
      <c r="AX24" s="30">
        <f t="shared" si="12"/>
        <v>26.048474284984575</v>
      </c>
      <c r="AY24" s="31">
        <f t="shared" si="12"/>
        <v>26.048474284984582</v>
      </c>
      <c r="AZ24" s="30">
        <f t="shared" si="12"/>
        <v>25.754780730701381</v>
      </c>
      <c r="BA24" s="30">
        <f t="shared" si="12"/>
        <v>25.754780730701373</v>
      </c>
      <c r="BB24" s="30">
        <f t="shared" si="12"/>
        <v>25.754780730701366</v>
      </c>
      <c r="BC24" s="30">
        <f t="shared" si="12"/>
        <v>25.754780730701366</v>
      </c>
      <c r="BD24" s="30">
        <f t="shared" si="12"/>
        <v>26.682588541561859</v>
      </c>
      <c r="BE24" s="30">
        <f t="shared" si="12"/>
        <v>26.784971959929422</v>
      </c>
      <c r="BF24" s="30">
        <f t="shared" si="12"/>
        <v>26.784971959929422</v>
      </c>
      <c r="BG24" s="30">
        <f t="shared" si="12"/>
        <v>26.78497195992944</v>
      </c>
      <c r="BH24" s="30">
        <f t="shared" si="12"/>
        <v>26.784971959929422</v>
      </c>
      <c r="BI24" s="30">
        <f t="shared" si="12"/>
        <v>26.78497195992944</v>
      </c>
      <c r="BJ24" s="30">
        <f t="shared" si="12"/>
        <v>26.784971959929425</v>
      </c>
      <c r="BK24" s="30">
        <f t="shared" si="13"/>
        <v>26.784971959929425</v>
      </c>
      <c r="BL24" s="31">
        <f t="shared" si="7"/>
        <v>26.448793695276976</v>
      </c>
    </row>
    <row r="25" spans="2:64" ht="15" x14ac:dyDescent="0.4">
      <c r="B25" t="s">
        <v>62</v>
      </c>
      <c r="C25" s="26">
        <v>53766</v>
      </c>
      <c r="D25" t="s">
        <v>59</v>
      </c>
      <c r="E25" t="s">
        <v>59</v>
      </c>
      <c r="F25" t="s">
        <v>60</v>
      </c>
      <c r="G25" t="s">
        <v>33</v>
      </c>
      <c r="H25" t="s">
        <v>34</v>
      </c>
      <c r="J25" s="27">
        <v>2509.1141892952587</v>
      </c>
      <c r="K25" s="27">
        <v>2259.6840100305071</v>
      </c>
      <c r="L25" s="27">
        <v>3146.1001465650061</v>
      </c>
      <c r="M25" s="27">
        <v>1792.0883887110726</v>
      </c>
      <c r="N25" s="28">
        <f t="shared" si="8"/>
        <v>9706.9867346018436</v>
      </c>
      <c r="O25" s="27">
        <v>2885.9790569604902</v>
      </c>
      <c r="P25" s="27">
        <v>2746.4030341817333</v>
      </c>
      <c r="Q25" s="27">
        <v>3307.6509570472545</v>
      </c>
      <c r="R25" s="27">
        <v>2361.3370419489129</v>
      </c>
      <c r="S25" s="27">
        <v>2037.6435420796095</v>
      </c>
      <c r="T25" s="27">
        <v>3509.1754392711446</v>
      </c>
      <c r="U25" s="27">
        <v>3480.9530522718655</v>
      </c>
      <c r="V25" s="27">
        <v>3180.7462100640932</v>
      </c>
      <c r="W25" s="27">
        <v>3035.3465201267541</v>
      </c>
      <c r="X25" s="27">
        <v>2733.6037657013339</v>
      </c>
      <c r="Y25" s="27">
        <v>3805.926478989209</v>
      </c>
      <c r="Z25" s="27">
        <v>2167.9400952100764</v>
      </c>
      <c r="AA25" s="28">
        <f t="shared" si="9"/>
        <v>35252.705193852475</v>
      </c>
      <c r="AB25" s="29"/>
      <c r="AC25" s="27">
        <v>53179.896915575788</v>
      </c>
      <c r="AD25" s="27">
        <v>47893.301639232974</v>
      </c>
      <c r="AE25" s="27">
        <v>66680.616687037909</v>
      </c>
      <c r="AF25" s="27">
        <v>37982.757493401761</v>
      </c>
      <c r="AG25" s="28">
        <f t="shared" si="10"/>
        <v>205736.57273524842</v>
      </c>
      <c r="AH25" s="27">
        <v>59530.150135421449</v>
      </c>
      <c r="AI25" s="27">
        <v>56651.06424209712</v>
      </c>
      <c r="AJ25" s="27">
        <v>68228.131314290775</v>
      </c>
      <c r="AK25" s="27">
        <v>48708.166571243135</v>
      </c>
      <c r="AL25" s="27">
        <v>43385.549019079233</v>
      </c>
      <c r="AM25" s="27">
        <v>75280.452870026755</v>
      </c>
      <c r="AN25" s="27">
        <v>74675.013184508993</v>
      </c>
      <c r="AO25" s="27">
        <v>68234.837300690648</v>
      </c>
      <c r="AP25" s="27">
        <v>65115.655973034423</v>
      </c>
      <c r="AQ25" s="27">
        <v>58642.530990684507</v>
      </c>
      <c r="AR25" s="27">
        <v>81646.493282149051</v>
      </c>
      <c r="AS25" s="27">
        <v>46507.652577324785</v>
      </c>
      <c r="AT25" s="28">
        <f t="shared" si="11"/>
        <v>746605.69746055093</v>
      </c>
      <c r="AU25" s="30">
        <f t="shared" si="12"/>
        <v>21.194689800272727</v>
      </c>
      <c r="AV25" s="30">
        <f t="shared" si="12"/>
        <v>21.19468980027273</v>
      </c>
      <c r="AW25" s="30">
        <f t="shared" si="12"/>
        <v>21.194689800272741</v>
      </c>
      <c r="AX25" s="30">
        <f t="shared" si="12"/>
        <v>21.19468980027273</v>
      </c>
      <c r="AY25" s="31">
        <f t="shared" si="12"/>
        <v>21.194689800272734</v>
      </c>
      <c r="AZ25" s="30">
        <f t="shared" si="12"/>
        <v>20.62736733721087</v>
      </c>
      <c r="BA25" s="30">
        <f t="shared" si="12"/>
        <v>20.62736733721087</v>
      </c>
      <c r="BB25" s="30">
        <f t="shared" si="12"/>
        <v>20.62736733721086</v>
      </c>
      <c r="BC25" s="30">
        <f t="shared" si="12"/>
        <v>20.627367337210867</v>
      </c>
      <c r="BD25" s="30">
        <f t="shared" si="12"/>
        <v>21.292020965943898</v>
      </c>
      <c r="BE25" s="30">
        <f t="shared" si="12"/>
        <v>21.452462030699298</v>
      </c>
      <c r="BF25" s="30">
        <f t="shared" si="12"/>
        <v>21.452462030699287</v>
      </c>
      <c r="BG25" s="30">
        <f t="shared" si="12"/>
        <v>21.452462030699294</v>
      </c>
      <c r="BH25" s="30">
        <f t="shared" si="12"/>
        <v>21.452462030699294</v>
      </c>
      <c r="BI25" s="30">
        <f t="shared" si="12"/>
        <v>21.452462030699305</v>
      </c>
      <c r="BJ25" s="30">
        <f t="shared" si="12"/>
        <v>21.452462030699291</v>
      </c>
      <c r="BK25" s="30">
        <f t="shared" si="13"/>
        <v>21.452462030699298</v>
      </c>
      <c r="BL25" s="31">
        <f t="shared" si="7"/>
        <v>21.178678156896378</v>
      </c>
    </row>
    <row r="26" spans="2:64" ht="15" x14ac:dyDescent="0.4">
      <c r="B26" t="s">
        <v>63</v>
      </c>
      <c r="C26" s="26">
        <v>60782</v>
      </c>
      <c r="D26" t="s">
        <v>59</v>
      </c>
      <c r="E26" t="s">
        <v>59</v>
      </c>
      <c r="F26" t="s">
        <v>60</v>
      </c>
      <c r="G26" t="s">
        <v>33</v>
      </c>
      <c r="H26" t="s">
        <v>34</v>
      </c>
      <c r="J26" s="27">
        <v>4500.7503208729077</v>
      </c>
      <c r="K26" s="27">
        <v>4053.3322782223531</v>
      </c>
      <c r="L26" s="27">
        <v>5643.3506711497485</v>
      </c>
      <c r="M26" s="27">
        <v>3214.577648532375</v>
      </c>
      <c r="N26" s="28">
        <f t="shared" si="8"/>
        <v>17412.010918777385</v>
      </c>
      <c r="O26" s="27">
        <v>4705.3111116366254</v>
      </c>
      <c r="P26" s="27">
        <v>4477.7458390075781</v>
      </c>
      <c r="Q26" s="27">
        <v>5392.806563884581</v>
      </c>
      <c r="R26" s="27">
        <v>3849.9327966375786</v>
      </c>
      <c r="S26" s="27">
        <v>3322.1816967028162</v>
      </c>
      <c r="T26" s="27">
        <v>5721.3728378455471</v>
      </c>
      <c r="U26" s="27">
        <v>5675.3589519081752</v>
      </c>
      <c r="V26" s="27">
        <v>5185.9005869825169</v>
      </c>
      <c r="W26" s="27">
        <v>4948.840385509252</v>
      </c>
      <c r="X26" s="27">
        <v>4456.8778635257786</v>
      </c>
      <c r="Y26" s="27">
        <v>6205.196849391119</v>
      </c>
      <c r="Z26" s="27">
        <v>3534.6176871075568</v>
      </c>
      <c r="AA26" s="28">
        <f t="shared" si="9"/>
        <v>57476.143170139127</v>
      </c>
      <c r="AB26" s="29"/>
      <c r="AC26" s="27">
        <v>108190.08443528091</v>
      </c>
      <c r="AD26" s="27">
        <v>97434.945322644431</v>
      </c>
      <c r="AE26" s="27">
        <v>135656.17776619422</v>
      </c>
      <c r="AF26" s="27">
        <v>77272.766188690206</v>
      </c>
      <c r="AG26" s="28">
        <f t="shared" si="10"/>
        <v>418553.97371280973</v>
      </c>
      <c r="AH26" s="27">
        <v>114407.48757571081</v>
      </c>
      <c r="AI26" s="27">
        <v>108874.34205498557</v>
      </c>
      <c r="AJ26" s="27">
        <v>131123.6250521247</v>
      </c>
      <c r="AK26" s="27">
        <v>93609.355077358923</v>
      </c>
      <c r="AL26" s="27">
        <v>83920.532848436051</v>
      </c>
      <c r="AM26" s="27">
        <v>144677.0662736294</v>
      </c>
      <c r="AN26" s="27">
        <v>143513.5074191473</v>
      </c>
      <c r="AO26" s="27">
        <v>131136.51289221883</v>
      </c>
      <c r="AP26" s="27">
        <v>125141.94210450161</v>
      </c>
      <c r="AQ26" s="27">
        <v>112701.62464671697</v>
      </c>
      <c r="AR26" s="27">
        <v>156911.58420613146</v>
      </c>
      <c r="AS26" s="27">
        <v>89380.316903480838</v>
      </c>
      <c r="AT26" s="28">
        <f t="shared" si="11"/>
        <v>1435397.8970544424</v>
      </c>
      <c r="AU26" s="30">
        <f t="shared" si="12"/>
        <v>24.0382328994197</v>
      </c>
      <c r="AV26" s="30">
        <f t="shared" si="12"/>
        <v>24.038232899419715</v>
      </c>
      <c r="AW26" s="30">
        <f t="shared" si="12"/>
        <v>24.038232899419715</v>
      </c>
      <c r="AX26" s="30">
        <f t="shared" si="12"/>
        <v>24.038232899419718</v>
      </c>
      <c r="AY26" s="31">
        <f t="shared" si="12"/>
        <v>24.038232899419707</v>
      </c>
      <c r="AZ26" s="30">
        <f t="shared" si="12"/>
        <v>24.314542622436079</v>
      </c>
      <c r="BA26" s="30">
        <f t="shared" si="12"/>
        <v>24.314542622436079</v>
      </c>
      <c r="BB26" s="30">
        <f t="shared" si="12"/>
        <v>24.314542622436079</v>
      </c>
      <c r="BC26" s="30">
        <f t="shared" si="12"/>
        <v>24.314542622436075</v>
      </c>
      <c r="BD26" s="30">
        <f t="shared" si="12"/>
        <v>25.260669195705074</v>
      </c>
      <c r="BE26" s="30">
        <f t="shared" si="12"/>
        <v>25.28712432733353</v>
      </c>
      <c r="BF26" s="30">
        <f t="shared" si="12"/>
        <v>25.287124327333522</v>
      </c>
      <c r="BG26" s="30">
        <f t="shared" si="12"/>
        <v>25.28712432733353</v>
      </c>
      <c r="BH26" s="30">
        <f t="shared" si="12"/>
        <v>25.287124327333522</v>
      </c>
      <c r="BI26" s="30">
        <f t="shared" si="12"/>
        <v>25.287124327333522</v>
      </c>
      <c r="BJ26" s="30">
        <f t="shared" si="12"/>
        <v>25.287124327333519</v>
      </c>
      <c r="BK26" s="30">
        <f t="shared" si="13"/>
        <v>25.287124327333519</v>
      </c>
      <c r="BL26" s="31">
        <f t="shared" si="7"/>
        <v>24.973803353600491</v>
      </c>
    </row>
    <row r="27" spans="2:64" ht="15" x14ac:dyDescent="0.4">
      <c r="B27" t="s">
        <v>64</v>
      </c>
      <c r="C27" s="26">
        <v>60781</v>
      </c>
      <c r="D27" t="s">
        <v>59</v>
      </c>
      <c r="E27" t="s">
        <v>59</v>
      </c>
      <c r="F27" t="s">
        <v>60</v>
      </c>
      <c r="G27" t="s">
        <v>33</v>
      </c>
      <c r="H27" t="s">
        <v>34</v>
      </c>
      <c r="J27" s="27">
        <v>4920.4359198256798</v>
      </c>
      <c r="K27" s="27">
        <v>4431.2970760142107</v>
      </c>
      <c r="L27" s="27">
        <v>6169.5813744033976</v>
      </c>
      <c r="M27" s="27">
        <v>3514.3303230026304</v>
      </c>
      <c r="N27" s="28">
        <f t="shared" si="8"/>
        <v>19035.644693245922</v>
      </c>
      <c r="O27" s="27">
        <v>5122.4599847744284</v>
      </c>
      <c r="P27" s="27">
        <v>4874.7199362824786</v>
      </c>
      <c r="Q27" s="27">
        <v>5870.9052757021991</v>
      </c>
      <c r="R27" s="27">
        <v>4191.2481931481052</v>
      </c>
      <c r="S27" s="27">
        <v>3616.7093736743354</v>
      </c>
      <c r="T27" s="27">
        <v>6228.6005589214374</v>
      </c>
      <c r="U27" s="27">
        <v>6178.5073166541488</v>
      </c>
      <c r="V27" s="27">
        <v>5645.6560706771934</v>
      </c>
      <c r="W27" s="27">
        <v>5387.5793213999286</v>
      </c>
      <c r="X27" s="27">
        <v>4852.0019125784966</v>
      </c>
      <c r="Y27" s="27">
        <v>6755.3179384983196</v>
      </c>
      <c r="Z27" s="27">
        <v>3847.9788549808991</v>
      </c>
      <c r="AA27" s="28">
        <f t="shared" si="9"/>
        <v>62571.684737291973</v>
      </c>
      <c r="AB27" s="29"/>
      <c r="AC27" s="27">
        <v>206478.82517926622</v>
      </c>
      <c r="AD27" s="27">
        <v>185952.83612760605</v>
      </c>
      <c r="AE27" s="27">
        <v>258897.36901193636</v>
      </c>
      <c r="AF27" s="27">
        <v>147473.68083012488</v>
      </c>
      <c r="AG27" s="28">
        <f t="shared" si="10"/>
        <v>798802.71114893351</v>
      </c>
      <c r="AH27" s="27">
        <v>220903.8288698947</v>
      </c>
      <c r="AI27" s="27">
        <v>210220.1484821609</v>
      </c>
      <c r="AJ27" s="27">
        <v>253180.20212747256</v>
      </c>
      <c r="AK27" s="27">
        <v>180745.73083292035</v>
      </c>
      <c r="AL27" s="27">
        <v>161994.07347730646</v>
      </c>
      <c r="AM27" s="27">
        <v>279349.8796864883</v>
      </c>
      <c r="AN27" s="27">
        <v>277103.22073507594</v>
      </c>
      <c r="AO27" s="27">
        <v>253205.08662832982</v>
      </c>
      <c r="AP27" s="27">
        <v>241630.46273352558</v>
      </c>
      <c r="AQ27" s="27">
        <v>217610.0614729611</v>
      </c>
      <c r="AR27" s="27">
        <v>302972.91269714315</v>
      </c>
      <c r="AS27" s="27">
        <v>172580.0876146091</v>
      </c>
      <c r="AT27" s="28">
        <f t="shared" si="11"/>
        <v>2771495.695357888</v>
      </c>
      <c r="AU27" s="30">
        <f t="shared" si="12"/>
        <v>41.963522855223225</v>
      </c>
      <c r="AV27" s="30">
        <f t="shared" si="12"/>
        <v>41.963522855223196</v>
      </c>
      <c r="AW27" s="30">
        <f t="shared" si="12"/>
        <v>41.963522855223204</v>
      </c>
      <c r="AX27" s="30">
        <f t="shared" si="12"/>
        <v>41.963522855223218</v>
      </c>
      <c r="AY27" s="31">
        <f t="shared" si="12"/>
        <v>41.963522855223204</v>
      </c>
      <c r="AZ27" s="30">
        <f t="shared" si="12"/>
        <v>43.124559201338961</v>
      </c>
      <c r="BA27" s="30">
        <f t="shared" si="12"/>
        <v>43.124559201338933</v>
      </c>
      <c r="BB27" s="30">
        <f t="shared" si="12"/>
        <v>43.124559201338933</v>
      </c>
      <c r="BC27" s="30">
        <f t="shared" si="12"/>
        <v>43.124559201338947</v>
      </c>
      <c r="BD27" s="30">
        <f t="shared" si="12"/>
        <v>44.7904591550665</v>
      </c>
      <c r="BE27" s="30">
        <f t="shared" si="12"/>
        <v>44.849541569392493</v>
      </c>
      <c r="BF27" s="30">
        <f t="shared" si="12"/>
        <v>44.8495415693925</v>
      </c>
      <c r="BG27" s="30">
        <f t="shared" si="12"/>
        <v>44.849541569392485</v>
      </c>
      <c r="BH27" s="30">
        <f t="shared" si="12"/>
        <v>44.849541569392507</v>
      </c>
      <c r="BI27" s="30">
        <f t="shared" si="12"/>
        <v>44.849541569392478</v>
      </c>
      <c r="BJ27" s="30">
        <f t="shared" si="12"/>
        <v>44.849541569392485</v>
      </c>
      <c r="BK27" s="30">
        <f t="shared" si="13"/>
        <v>44.849541569392478</v>
      </c>
      <c r="BL27" s="31">
        <f t="shared" si="7"/>
        <v>44.293128864821981</v>
      </c>
    </row>
    <row r="28" spans="2:64" ht="15" x14ac:dyDescent="0.4">
      <c r="B28" t="s">
        <v>65</v>
      </c>
      <c r="C28" s="26">
        <v>53765</v>
      </c>
      <c r="D28" t="s">
        <v>59</v>
      </c>
      <c r="E28" t="s">
        <v>59</v>
      </c>
      <c r="F28" t="s">
        <v>60</v>
      </c>
      <c r="G28" t="s">
        <v>33</v>
      </c>
      <c r="H28" t="s">
        <v>34</v>
      </c>
      <c r="J28" s="27">
        <v>8953.5558865272069</v>
      </c>
      <c r="K28" s="27">
        <v>8063.4859728654774</v>
      </c>
      <c r="L28" s="27">
        <v>11226.58490676068</v>
      </c>
      <c r="M28" s="27">
        <v>6394.911642673319</v>
      </c>
      <c r="N28" s="28">
        <f t="shared" si="8"/>
        <v>34638.53840882668</v>
      </c>
      <c r="O28" s="27">
        <v>4451.6814809701191</v>
      </c>
      <c r="P28" s="27">
        <v>4236.3826227566233</v>
      </c>
      <c r="Q28" s="27">
        <v>5102.1189760497728</v>
      </c>
      <c r="R28" s="27">
        <v>3642.4104861813785</v>
      </c>
      <c r="S28" s="27">
        <v>3143.1066691965711</v>
      </c>
      <c r="T28" s="27">
        <v>5412.9745948091968</v>
      </c>
      <c r="U28" s="27">
        <v>5369.4409879902396</v>
      </c>
      <c r="V28" s="27">
        <v>4906.3658188570362</v>
      </c>
      <c r="W28" s="27">
        <v>4682.0838354269272</v>
      </c>
      <c r="X28" s="27">
        <v>4216.6394904124218</v>
      </c>
      <c r="Y28" s="27">
        <v>5870.7191182094648</v>
      </c>
      <c r="Z28" s="27">
        <v>3344.0917564605234</v>
      </c>
      <c r="AA28" s="28">
        <f t="shared" si="9"/>
        <v>54378.015837320279</v>
      </c>
      <c r="AB28" s="29"/>
      <c r="AC28" s="27">
        <v>277691.27075169771</v>
      </c>
      <c r="AD28" s="27">
        <v>250086.07695886097</v>
      </c>
      <c r="AE28" s="27">
        <v>348188.43691491085</v>
      </c>
      <c r="AF28" s="27">
        <v>198335.85258242697</v>
      </c>
      <c r="AG28" s="28">
        <f t="shared" si="10"/>
        <v>1074301.6372078964</v>
      </c>
      <c r="AH28" s="27">
        <v>139855.88307345303</v>
      </c>
      <c r="AI28" s="27">
        <v>133091.96430054176</v>
      </c>
      <c r="AJ28" s="27">
        <v>160290.29884360955</v>
      </c>
      <c r="AK28" s="27">
        <v>114431.48779590795</v>
      </c>
      <c r="AL28" s="27">
        <v>102084.98556724277</v>
      </c>
      <c r="AM28" s="27">
        <v>176858.51942850152</v>
      </c>
      <c r="AN28" s="27">
        <v>175436.14267196413</v>
      </c>
      <c r="AO28" s="27">
        <v>160306.0534091146</v>
      </c>
      <c r="AP28" s="27">
        <v>152978.07157044587</v>
      </c>
      <c r="AQ28" s="27">
        <v>137770.57404873701</v>
      </c>
      <c r="AR28" s="27">
        <v>191814.44010891818</v>
      </c>
      <c r="AS28" s="27">
        <v>109261.75737972642</v>
      </c>
      <c r="AT28" s="28">
        <f t="shared" si="11"/>
        <v>1754180.1781981625</v>
      </c>
      <c r="AU28" s="30">
        <f t="shared" si="12"/>
        <v>31.014635332711944</v>
      </c>
      <c r="AV28" s="30">
        <f t="shared" si="12"/>
        <v>31.014635332711968</v>
      </c>
      <c r="AW28" s="30">
        <f t="shared" si="12"/>
        <v>31.014635332711986</v>
      </c>
      <c r="AX28" s="30">
        <f t="shared" si="12"/>
        <v>31.014635332711958</v>
      </c>
      <c r="AY28" s="31">
        <f t="shared" si="12"/>
        <v>31.014635332711965</v>
      </c>
      <c r="AZ28" s="30">
        <f t="shared" si="12"/>
        <v>31.416417295645189</v>
      </c>
      <c r="BA28" s="30">
        <f t="shared" si="12"/>
        <v>31.416417295645154</v>
      </c>
      <c r="BB28" s="30">
        <f t="shared" si="12"/>
        <v>31.416417295645179</v>
      </c>
      <c r="BC28" s="30">
        <f t="shared" si="12"/>
        <v>31.416417295645157</v>
      </c>
      <c r="BD28" s="30">
        <f t="shared" si="12"/>
        <v>32.479007654340073</v>
      </c>
      <c r="BE28" s="30">
        <f t="shared" si="12"/>
        <v>32.673073987470957</v>
      </c>
      <c r="BF28" s="30">
        <f t="shared" si="12"/>
        <v>32.673073987470936</v>
      </c>
      <c r="BG28" s="30">
        <f t="shared" si="12"/>
        <v>32.673073987470985</v>
      </c>
      <c r="BH28" s="30">
        <f t="shared" si="12"/>
        <v>32.673073987470978</v>
      </c>
      <c r="BI28" s="30">
        <f t="shared" si="12"/>
        <v>32.673073987470985</v>
      </c>
      <c r="BJ28" s="30">
        <f t="shared" si="12"/>
        <v>32.673073987470971</v>
      </c>
      <c r="BK28" s="30">
        <f t="shared" si="13"/>
        <v>32.673073987470964</v>
      </c>
      <c r="BL28" s="31">
        <f t="shared" si="7"/>
        <v>32.258995683955199</v>
      </c>
    </row>
    <row r="29" spans="2:64" ht="15" x14ac:dyDescent="0.4">
      <c r="B29" t="s">
        <v>66</v>
      </c>
      <c r="C29" s="26">
        <v>53972</v>
      </c>
      <c r="D29" t="s">
        <v>67</v>
      </c>
      <c r="E29" t="s">
        <v>67</v>
      </c>
      <c r="F29" t="s">
        <v>32</v>
      </c>
      <c r="G29" t="s">
        <v>33</v>
      </c>
      <c r="H29" t="s">
        <v>34</v>
      </c>
      <c r="J29" s="27">
        <v>18796.673349070072</v>
      </c>
      <c r="K29" s="27">
        <v>13538.099182946906</v>
      </c>
      <c r="L29" s="27">
        <v>19044.800115394752</v>
      </c>
      <c r="M29" s="27">
        <v>10060.738519600947</v>
      </c>
      <c r="N29" s="28">
        <f t="shared" si="8"/>
        <v>61440.311167012675</v>
      </c>
      <c r="O29" s="27">
        <v>12006.048852316293</v>
      </c>
      <c r="P29" s="27">
        <v>17765.280508114156</v>
      </c>
      <c r="Q29" s="27">
        <v>20374.55134127476</v>
      </c>
      <c r="R29" s="27">
        <v>13737.25388176088</v>
      </c>
      <c r="S29" s="27">
        <v>14336.900646999207</v>
      </c>
      <c r="T29" s="27">
        <v>13829.373843888592</v>
      </c>
      <c r="U29" s="27">
        <v>9139.0588780501803</v>
      </c>
      <c r="V29" s="27">
        <v>7737.7516894487962</v>
      </c>
      <c r="W29" s="27">
        <v>20451.065098053787</v>
      </c>
      <c r="X29" s="27">
        <v>14729.6568149413</v>
      </c>
      <c r="Y29" s="27">
        <v>20721.030775300937</v>
      </c>
      <c r="Z29" s="27">
        <v>10946.235782143602</v>
      </c>
      <c r="AA29" s="28">
        <f t="shared" si="9"/>
        <v>175774.20811229249</v>
      </c>
      <c r="AB29" s="29"/>
      <c r="AC29" s="27">
        <v>336503.1094499029</v>
      </c>
      <c r="AD29" s="27">
        <v>242362.69825523128</v>
      </c>
      <c r="AE29" s="27">
        <v>340945.14165716775</v>
      </c>
      <c r="AF29" s="27">
        <v>180110.05098280424</v>
      </c>
      <c r="AG29" s="28">
        <f t="shared" si="10"/>
        <v>1099921.0003451062</v>
      </c>
      <c r="AH29" s="27">
        <v>219253.76710528397</v>
      </c>
      <c r="AI29" s="27">
        <v>324428.52123949397</v>
      </c>
      <c r="AJ29" s="27">
        <v>372078.87370811956</v>
      </c>
      <c r="AK29" s="27">
        <v>250868.93284435288</v>
      </c>
      <c r="AL29" s="27">
        <v>270078.71580758796</v>
      </c>
      <c r="AM29" s="27">
        <v>262653.2711342969</v>
      </c>
      <c r="AN29" s="27">
        <v>173572.84114996952</v>
      </c>
      <c r="AO29" s="27">
        <v>146958.62700658588</v>
      </c>
      <c r="AP29" s="27">
        <v>388415.21003194497</v>
      </c>
      <c r="AQ29" s="27">
        <v>279751.82309787668</v>
      </c>
      <c r="AR29" s="27">
        <v>393542.51145740302</v>
      </c>
      <c r="AS29" s="27">
        <v>207895.5032413014</v>
      </c>
      <c r="AT29" s="28">
        <f t="shared" si="11"/>
        <v>3289498.5978242173</v>
      </c>
      <c r="AU29" s="30">
        <f t="shared" si="12"/>
        <v>17.902269364411268</v>
      </c>
      <c r="AV29" s="30">
        <f t="shared" si="12"/>
        <v>17.902269364411243</v>
      </c>
      <c r="AW29" s="30">
        <f t="shared" si="12"/>
        <v>17.902269364411275</v>
      </c>
      <c r="AX29" s="30">
        <f t="shared" si="12"/>
        <v>17.90226936441125</v>
      </c>
      <c r="AY29" s="31">
        <f t="shared" si="12"/>
        <v>17.902269364411264</v>
      </c>
      <c r="AZ29" s="30">
        <f t="shared" si="12"/>
        <v>18.261941942955193</v>
      </c>
      <c r="BA29" s="30">
        <f t="shared" si="12"/>
        <v>18.261941942955179</v>
      </c>
      <c r="BB29" s="30">
        <f t="shared" si="12"/>
        <v>18.261941942955193</v>
      </c>
      <c r="BC29" s="30">
        <f t="shared" si="12"/>
        <v>18.261941942955179</v>
      </c>
      <c r="BD29" s="30">
        <f t="shared" si="12"/>
        <v>18.838012654019259</v>
      </c>
      <c r="BE29" s="30">
        <f t="shared" si="12"/>
        <v>18.992419620673378</v>
      </c>
      <c r="BF29" s="30">
        <f t="shared" si="12"/>
        <v>18.992419620673385</v>
      </c>
      <c r="BG29" s="30">
        <f t="shared" si="12"/>
        <v>18.992419620673378</v>
      </c>
      <c r="BH29" s="30">
        <f t="shared" si="12"/>
        <v>18.992419620673363</v>
      </c>
      <c r="BI29" s="30">
        <f t="shared" si="12"/>
        <v>18.992419620673392</v>
      </c>
      <c r="BJ29" s="30">
        <f t="shared" si="12"/>
        <v>18.992419620673406</v>
      </c>
      <c r="BK29" s="30">
        <f t="shared" si="13"/>
        <v>18.992419620673402</v>
      </c>
      <c r="BL29" s="31">
        <f t="shared" si="7"/>
        <v>18.714341729377825</v>
      </c>
    </row>
    <row r="30" spans="2:64" ht="15" x14ac:dyDescent="0.4">
      <c r="B30" t="s">
        <v>68</v>
      </c>
      <c r="C30" s="26">
        <v>53006</v>
      </c>
      <c r="D30" t="s">
        <v>67</v>
      </c>
      <c r="E30" t="s">
        <v>67</v>
      </c>
      <c r="F30" t="s">
        <v>32</v>
      </c>
      <c r="G30" t="s">
        <v>33</v>
      </c>
      <c r="H30" t="s">
        <v>34</v>
      </c>
      <c r="J30" s="27">
        <v>76766.589962862214</v>
      </c>
      <c r="K30" s="27">
        <v>55290.300020309754</v>
      </c>
      <c r="L30" s="27">
        <v>77779.952560356163</v>
      </c>
      <c r="M30" s="27">
        <v>41088.578511473002</v>
      </c>
      <c r="N30" s="28">
        <f t="shared" si="8"/>
        <v>250925.42105500112</v>
      </c>
      <c r="O30" s="27">
        <v>50715.222585243981</v>
      </c>
      <c r="P30" s="27">
        <v>75043.019259786015</v>
      </c>
      <c r="Q30" s="27">
        <v>86064.942684943264</v>
      </c>
      <c r="R30" s="27">
        <v>58028.073756263235</v>
      </c>
      <c r="S30" s="27">
        <v>60561.065212958485</v>
      </c>
      <c r="T30" s="27">
        <v>58417.201306993549</v>
      </c>
      <c r="U30" s="27">
        <v>38604.657612278868</v>
      </c>
      <c r="V30" s="27">
        <v>32685.340869992691</v>
      </c>
      <c r="W30" s="27">
        <v>86388.147450608609</v>
      </c>
      <c r="X30" s="27">
        <v>62220.121970425193</v>
      </c>
      <c r="Y30" s="27">
        <v>87528.520072807733</v>
      </c>
      <c r="Z30" s="27">
        <v>46238.424563371016</v>
      </c>
      <c r="AA30" s="28">
        <f t="shared" si="9"/>
        <v>742494.73734567256</v>
      </c>
      <c r="AB30" s="29"/>
      <c r="AC30" s="27">
        <v>687969.75513681956</v>
      </c>
      <c r="AD30" s="27">
        <v>495502.72045190039</v>
      </c>
      <c r="AE30" s="27">
        <v>697051.34673024481</v>
      </c>
      <c r="AF30" s="27">
        <v>368229.19073431939</v>
      </c>
      <c r="AG30" s="28">
        <f t="shared" si="10"/>
        <v>2248753.013053284</v>
      </c>
      <c r="AH30" s="27">
        <v>468715.36662519246</v>
      </c>
      <c r="AI30" s="27">
        <v>693555.39603302721</v>
      </c>
      <c r="AJ30" s="27">
        <v>795421.15971875121</v>
      </c>
      <c r="AK30" s="27">
        <v>536301.49842099519</v>
      </c>
      <c r="AL30" s="27">
        <v>574225.48515694705</v>
      </c>
      <c r="AM30" s="27">
        <v>561493.76998344494</v>
      </c>
      <c r="AN30" s="27">
        <v>371059.79500328319</v>
      </c>
      <c r="AO30" s="27">
        <v>314164.57580430229</v>
      </c>
      <c r="AP30" s="27">
        <v>830344.58188124257</v>
      </c>
      <c r="AQ30" s="27">
        <v>598046.63818808016</v>
      </c>
      <c r="AR30" s="27">
        <v>841305.60206876509</v>
      </c>
      <c r="AS30" s="27">
        <v>444433.94659980334</v>
      </c>
      <c r="AT30" s="28">
        <f t="shared" si="11"/>
        <v>7029067.8154838346</v>
      </c>
      <c r="AU30" s="30">
        <f t="shared" si="12"/>
        <v>8.961838157323939</v>
      </c>
      <c r="AV30" s="30">
        <f t="shared" si="12"/>
        <v>8.9618381573239372</v>
      </c>
      <c r="AW30" s="30">
        <f t="shared" si="12"/>
        <v>8.9618381573239283</v>
      </c>
      <c r="AX30" s="30">
        <f t="shared" si="12"/>
        <v>8.9618381573239425</v>
      </c>
      <c r="AY30" s="31">
        <f t="shared" si="12"/>
        <v>8.9618381573239354</v>
      </c>
      <c r="AZ30" s="30">
        <f t="shared" si="12"/>
        <v>9.2421041007432976</v>
      </c>
      <c r="BA30" s="30">
        <f t="shared" si="12"/>
        <v>9.2421041007433065</v>
      </c>
      <c r="BB30" s="30">
        <f t="shared" si="12"/>
        <v>9.2421041007432994</v>
      </c>
      <c r="BC30" s="30">
        <f t="shared" si="12"/>
        <v>9.2421041007433011</v>
      </c>
      <c r="BD30" s="30">
        <f t="shared" si="12"/>
        <v>9.481759991138297</v>
      </c>
      <c r="BE30" s="30">
        <f t="shared" si="12"/>
        <v>9.6117882647730415</v>
      </c>
      <c r="BF30" s="30">
        <f t="shared" si="12"/>
        <v>9.6117882647730379</v>
      </c>
      <c r="BG30" s="30">
        <f t="shared" si="12"/>
        <v>9.6117882647730379</v>
      </c>
      <c r="BH30" s="30">
        <f t="shared" si="12"/>
        <v>9.6117882647730362</v>
      </c>
      <c r="BI30" s="30">
        <f t="shared" si="12"/>
        <v>9.6117882647730415</v>
      </c>
      <c r="BJ30" s="30">
        <f t="shared" si="12"/>
        <v>9.6117882647730433</v>
      </c>
      <c r="BK30" s="30">
        <f t="shared" si="13"/>
        <v>9.6117882647730468</v>
      </c>
      <c r="BL30" s="31">
        <f t="shared" si="7"/>
        <v>9.4668250991406193</v>
      </c>
    </row>
    <row r="31" spans="2:64" ht="15" x14ac:dyDescent="0.4">
      <c r="B31" t="s">
        <v>69</v>
      </c>
      <c r="C31" s="26">
        <v>53682</v>
      </c>
      <c r="D31" t="s">
        <v>70</v>
      </c>
      <c r="E31" t="s">
        <v>70</v>
      </c>
      <c r="F31" t="s">
        <v>32</v>
      </c>
      <c r="G31" t="s">
        <v>33</v>
      </c>
      <c r="H31" t="s">
        <v>34</v>
      </c>
      <c r="J31" s="27">
        <v>3015.0368206723829</v>
      </c>
      <c r="K31" s="27">
        <v>2208.6897639809326</v>
      </c>
      <c r="L31" s="27">
        <v>2629.392576167776</v>
      </c>
      <c r="M31" s="27">
        <v>3838.6434799150893</v>
      </c>
      <c r="N31" s="28">
        <f t="shared" si="8"/>
        <v>11691.762640736182</v>
      </c>
      <c r="O31" s="27">
        <v>1545.88242073383</v>
      </c>
      <c r="P31" s="27">
        <v>4203.5005695677419</v>
      </c>
      <c r="Q31" s="27">
        <v>3754.2858789250154</v>
      </c>
      <c r="R31" s="27">
        <v>4292.0250578705018</v>
      </c>
      <c r="S31" s="27">
        <v>3178.4058300192942</v>
      </c>
      <c r="T31" s="27">
        <v>2532.8362903220418</v>
      </c>
      <c r="U31" s="27">
        <v>1752.1256434817483</v>
      </c>
      <c r="V31" s="27">
        <v>1323.6294501013692</v>
      </c>
      <c r="W31" s="27">
        <v>2632.1909021937586</v>
      </c>
      <c r="X31" s="27">
        <v>1928.2328702117063</v>
      </c>
      <c r="Y31" s="27">
        <v>2295.515321680602</v>
      </c>
      <c r="Z31" s="27">
        <v>3351.2169321847896</v>
      </c>
      <c r="AA31" s="28">
        <f t="shared" si="9"/>
        <v>32789.847167292392</v>
      </c>
      <c r="AB31" s="29"/>
      <c r="AC31" s="27">
        <v>71681.21506333971</v>
      </c>
      <c r="AD31" s="27">
        <v>52510.657546400056</v>
      </c>
      <c r="AE31" s="27">
        <v>62512.687555238161</v>
      </c>
      <c r="AF31" s="27">
        <v>91262.1122729497</v>
      </c>
      <c r="AG31" s="28">
        <f t="shared" si="10"/>
        <v>277966.67243792763</v>
      </c>
      <c r="AH31" s="27">
        <v>35378.632865252534</v>
      </c>
      <c r="AI31" s="27">
        <v>96200.138771888378</v>
      </c>
      <c r="AJ31" s="27">
        <v>85919.536958470417</v>
      </c>
      <c r="AK31" s="27">
        <v>98226.085460486458</v>
      </c>
      <c r="AL31" s="27">
        <v>75078.506498241753</v>
      </c>
      <c r="AM31" s="27">
        <v>60284.414507913854</v>
      </c>
      <c r="AN31" s="27">
        <v>41702.603901087074</v>
      </c>
      <c r="AO31" s="27">
        <v>31503.902060186989</v>
      </c>
      <c r="AP31" s="27">
        <v>62649.168451243429</v>
      </c>
      <c r="AQ31" s="27">
        <v>45894.158284050442</v>
      </c>
      <c r="AR31" s="27">
        <v>54635.90271910766</v>
      </c>
      <c r="AS31" s="27">
        <v>79762.814287566944</v>
      </c>
      <c r="AT31" s="28">
        <f t="shared" si="11"/>
        <v>767235.86476549588</v>
      </c>
      <c r="AU31" s="30">
        <f t="shared" si="12"/>
        <v>23.774573687413241</v>
      </c>
      <c r="AV31" s="30">
        <f t="shared" si="12"/>
        <v>23.774573687413248</v>
      </c>
      <c r="AW31" s="30">
        <f t="shared" si="12"/>
        <v>23.774573687413255</v>
      </c>
      <c r="AX31" s="30">
        <f t="shared" si="12"/>
        <v>23.774573687413245</v>
      </c>
      <c r="AY31" s="31">
        <f t="shared" si="12"/>
        <v>23.774573687413245</v>
      </c>
      <c r="AZ31" s="30">
        <f t="shared" si="12"/>
        <v>22.885720408450148</v>
      </c>
      <c r="BA31" s="30">
        <f t="shared" si="12"/>
        <v>22.885720408450169</v>
      </c>
      <c r="BB31" s="30">
        <f t="shared" si="12"/>
        <v>22.885720408450144</v>
      </c>
      <c r="BC31" s="30">
        <f t="shared" si="12"/>
        <v>22.885720408450169</v>
      </c>
      <c r="BD31" s="30">
        <f t="shared" si="12"/>
        <v>23.621434931040884</v>
      </c>
      <c r="BE31" s="30">
        <f t="shared" si="12"/>
        <v>23.801149224788187</v>
      </c>
      <c r="BF31" s="30">
        <f t="shared" si="12"/>
        <v>23.801149224788162</v>
      </c>
      <c r="BG31" s="30">
        <f t="shared" si="12"/>
        <v>23.801149224788166</v>
      </c>
      <c r="BH31" s="30">
        <f t="shared" si="12"/>
        <v>23.801149224788162</v>
      </c>
      <c r="BI31" s="30">
        <f t="shared" si="12"/>
        <v>23.80114922478818</v>
      </c>
      <c r="BJ31" s="30">
        <f t="shared" si="12"/>
        <v>23.801149224788183</v>
      </c>
      <c r="BK31" s="30">
        <f t="shared" si="13"/>
        <v>23.801149224788155</v>
      </c>
      <c r="BL31" s="31">
        <f t="shared" si="7"/>
        <v>23.398580080324603</v>
      </c>
    </row>
    <row r="32" spans="2:64" ht="15" x14ac:dyDescent="0.4">
      <c r="B32" t="s">
        <v>71</v>
      </c>
      <c r="C32" s="26">
        <v>53784</v>
      </c>
      <c r="D32" t="s">
        <v>72</v>
      </c>
      <c r="E32" t="s">
        <v>72</v>
      </c>
      <c r="F32" t="s">
        <v>32</v>
      </c>
      <c r="G32" t="s">
        <v>33</v>
      </c>
      <c r="H32" t="s">
        <v>34</v>
      </c>
      <c r="J32" s="27">
        <v>2505.5736625015898</v>
      </c>
      <c r="K32" s="27">
        <v>1962.9521113243368</v>
      </c>
      <c r="L32" s="27">
        <v>2501.9048217228383</v>
      </c>
      <c r="M32" s="27">
        <v>2974.0846299480741</v>
      </c>
      <c r="N32" s="28">
        <f t="shared" si="8"/>
        <v>9944.515225496838</v>
      </c>
      <c r="O32" s="27">
        <v>2696.0380135894288</v>
      </c>
      <c r="P32" s="27">
        <v>3034.6569445139135</v>
      </c>
      <c r="Q32" s="27">
        <v>4126.6491907711807</v>
      </c>
      <c r="R32" s="27">
        <v>2863.2849167075869</v>
      </c>
      <c r="S32" s="27">
        <v>2082.7395844070811</v>
      </c>
      <c r="T32" s="27">
        <v>2401.0915983853424</v>
      </c>
      <c r="U32" s="27">
        <v>2727.4248318689765</v>
      </c>
      <c r="V32" s="27">
        <v>2751.7271968797113</v>
      </c>
      <c r="W32" s="27">
        <v>1837.2946654610237</v>
      </c>
      <c r="X32" s="27">
        <v>1439.3994863000241</v>
      </c>
      <c r="Y32" s="27">
        <v>1834.6043667513482</v>
      </c>
      <c r="Z32" s="27">
        <v>2180.8458106865801</v>
      </c>
      <c r="AA32" s="28">
        <f t="shared" si="9"/>
        <v>29975.756606322193</v>
      </c>
      <c r="AB32" s="29"/>
      <c r="AC32" s="27">
        <v>26623.656060370813</v>
      </c>
      <c r="AD32" s="27">
        <v>20857.882830193867</v>
      </c>
      <c r="AE32" s="27">
        <v>26584.671792418299</v>
      </c>
      <c r="AF32" s="27">
        <v>31601.947077906952</v>
      </c>
      <c r="AG32" s="28">
        <f t="shared" si="10"/>
        <v>105668.15776088994</v>
      </c>
      <c r="AH32" s="27">
        <v>28594.063423948894</v>
      </c>
      <c r="AI32" s="27">
        <v>32185.441267510312</v>
      </c>
      <c r="AJ32" s="27">
        <v>43767.064149143698</v>
      </c>
      <c r="AK32" s="27">
        <v>30367.876898059607</v>
      </c>
      <c r="AL32" s="27">
        <v>22965.964581612181</v>
      </c>
      <c r="AM32" s="27">
        <v>26484.509383424727</v>
      </c>
      <c r="AN32" s="27">
        <v>30084.028697945072</v>
      </c>
      <c r="AO32" s="27">
        <v>30352.088531480382</v>
      </c>
      <c r="AP32" s="27">
        <v>20265.719075540823</v>
      </c>
      <c r="AQ32" s="27">
        <v>15876.857520573301</v>
      </c>
      <c r="AR32" s="27">
        <v>20236.044555223263</v>
      </c>
      <c r="AS32" s="27">
        <v>24055.155320093581</v>
      </c>
      <c r="AT32" s="28">
        <f t="shared" si="11"/>
        <v>325234.81340455578</v>
      </c>
      <c r="AU32" s="30">
        <f t="shared" si="12"/>
        <v>10.625772635951757</v>
      </c>
      <c r="AV32" s="30">
        <f t="shared" si="12"/>
        <v>10.625772635951758</v>
      </c>
      <c r="AW32" s="30">
        <f t="shared" si="12"/>
        <v>10.625772635951758</v>
      </c>
      <c r="AX32" s="30">
        <f t="shared" si="12"/>
        <v>10.625772635951757</v>
      </c>
      <c r="AY32" s="31">
        <f t="shared" si="12"/>
        <v>10.625772635951758</v>
      </c>
      <c r="AZ32" s="30">
        <f t="shared" si="12"/>
        <v>10.605957067303946</v>
      </c>
      <c r="BA32" s="30">
        <f t="shared" si="12"/>
        <v>10.605957067303937</v>
      </c>
      <c r="BB32" s="30">
        <f t="shared" si="12"/>
        <v>10.605957067303942</v>
      </c>
      <c r="BC32" s="30">
        <f t="shared" si="12"/>
        <v>10.60595706730394</v>
      </c>
      <c r="BD32" s="30">
        <f t="shared" si="12"/>
        <v>11.026805633096075</v>
      </c>
      <c r="BE32" s="30">
        <f t="shared" si="12"/>
        <v>11.030195349996108</v>
      </c>
      <c r="BF32" s="30">
        <f t="shared" si="12"/>
        <v>11.030195349996097</v>
      </c>
      <c r="BG32" s="30">
        <f t="shared" si="12"/>
        <v>11.030195349996095</v>
      </c>
      <c r="BH32" s="30">
        <f t="shared" si="12"/>
        <v>11.030195349996101</v>
      </c>
      <c r="BI32" s="30">
        <f t="shared" si="12"/>
        <v>11.030195349996101</v>
      </c>
      <c r="BJ32" s="30">
        <f t="shared" si="12"/>
        <v>11.030195349996102</v>
      </c>
      <c r="BK32" s="30">
        <f t="shared" si="13"/>
        <v>11.030195349996095</v>
      </c>
      <c r="BL32" s="31">
        <f t="shared" si="7"/>
        <v>10.849928416350981</v>
      </c>
    </row>
    <row r="33" spans="2:64" ht="15" x14ac:dyDescent="0.4">
      <c r="B33" t="s">
        <v>73</v>
      </c>
      <c r="C33" s="26">
        <v>53788</v>
      </c>
      <c r="D33" t="s">
        <v>72</v>
      </c>
      <c r="E33" t="s">
        <v>72</v>
      </c>
      <c r="F33" t="s">
        <v>32</v>
      </c>
      <c r="G33" t="s">
        <v>33</v>
      </c>
      <c r="H33" t="s">
        <v>34</v>
      </c>
      <c r="J33" s="27">
        <v>6616.9490301610576</v>
      </c>
      <c r="K33" s="27">
        <v>5183.9442055405671</v>
      </c>
      <c r="L33" s="27">
        <v>6607.2600185003339</v>
      </c>
      <c r="M33" s="27">
        <v>7854.235819235003</v>
      </c>
      <c r="N33" s="28">
        <f t="shared" si="8"/>
        <v>26262.38907343696</v>
      </c>
      <c r="O33" s="27">
        <v>9435.8310497288203</v>
      </c>
      <c r="P33" s="27">
        <v>10620.95937742227</v>
      </c>
      <c r="Q33" s="27">
        <v>14442.809919351101</v>
      </c>
      <c r="R33" s="27">
        <v>10021.176476410059</v>
      </c>
      <c r="S33" s="27">
        <v>7289.3552464725926</v>
      </c>
      <c r="T33" s="27">
        <v>8403.5516350615162</v>
      </c>
      <c r="U33" s="27">
        <v>9545.6813978995651</v>
      </c>
      <c r="V33" s="27">
        <v>9630.7369531974891</v>
      </c>
      <c r="W33" s="27">
        <v>6430.3255237774201</v>
      </c>
      <c r="X33" s="27">
        <v>5037.7369671100787</v>
      </c>
      <c r="Y33" s="27">
        <v>6420.9097796484975</v>
      </c>
      <c r="Z33" s="27">
        <v>7632.7160490405531</v>
      </c>
      <c r="AA33" s="28">
        <f t="shared" si="9"/>
        <v>104911.79037511995</v>
      </c>
      <c r="AB33" s="29"/>
      <c r="AC33" s="27">
        <v>114300.55821860372</v>
      </c>
      <c r="AD33" s="27">
        <v>89546.96700345607</v>
      </c>
      <c r="AE33" s="27">
        <v>114133.19113804161</v>
      </c>
      <c r="AF33" s="27">
        <v>135673.33440639515</v>
      </c>
      <c r="AG33" s="28">
        <f t="shared" si="10"/>
        <v>453654.05076649657</v>
      </c>
      <c r="AH33" s="27">
        <v>170792.15295468221</v>
      </c>
      <c r="AI33" s="27">
        <v>192243.42921721842</v>
      </c>
      <c r="AJ33" s="27">
        <v>261420.38659245684</v>
      </c>
      <c r="AK33" s="27">
        <v>181387.12918074985</v>
      </c>
      <c r="AL33" s="27">
        <v>136478.38284323426</v>
      </c>
      <c r="AM33" s="27">
        <v>158191.8005314027</v>
      </c>
      <c r="AN33" s="27">
        <v>179691.70574648303</v>
      </c>
      <c r="AO33" s="27">
        <v>181292.82537090912</v>
      </c>
      <c r="AP33" s="27">
        <v>121047.00688281527</v>
      </c>
      <c r="AQ33" s="27">
        <v>94832.365651897067</v>
      </c>
      <c r="AR33" s="27">
        <v>120869.76116793422</v>
      </c>
      <c r="AS33" s="27">
        <v>143681.28467313451</v>
      </c>
      <c r="AT33" s="28">
        <f t="shared" si="11"/>
        <v>1941928.2308129177</v>
      </c>
      <c r="AU33" s="30">
        <f t="shared" si="12"/>
        <v>17.273906402724947</v>
      </c>
      <c r="AV33" s="30">
        <f t="shared" si="12"/>
        <v>17.273906402724943</v>
      </c>
      <c r="AW33" s="30">
        <f t="shared" si="12"/>
        <v>17.273906402724968</v>
      </c>
      <c r="AX33" s="30">
        <f t="shared" si="12"/>
        <v>17.27390640272495</v>
      </c>
      <c r="AY33" s="31">
        <f t="shared" si="12"/>
        <v>17.273906402724954</v>
      </c>
      <c r="AZ33" s="30">
        <f t="shared" si="12"/>
        <v>18.100382685379966</v>
      </c>
      <c r="BA33" s="30">
        <f t="shared" si="12"/>
        <v>18.100382685380001</v>
      </c>
      <c r="BB33" s="30">
        <f t="shared" si="12"/>
        <v>18.100382685379977</v>
      </c>
      <c r="BC33" s="30">
        <f t="shared" si="12"/>
        <v>18.100382685379987</v>
      </c>
      <c r="BD33" s="30">
        <f t="shared" si="12"/>
        <v>18.722970445057921</v>
      </c>
      <c r="BE33" s="30">
        <f t="shared" si="12"/>
        <v>18.824397992795184</v>
      </c>
      <c r="BF33" s="30">
        <f t="shared" si="12"/>
        <v>18.824397992795198</v>
      </c>
      <c r="BG33" s="30">
        <f t="shared" si="12"/>
        <v>18.824397992795173</v>
      </c>
      <c r="BH33" s="30">
        <f t="shared" si="12"/>
        <v>18.824397992795177</v>
      </c>
      <c r="BI33" s="30">
        <f t="shared" si="12"/>
        <v>18.824397992795184</v>
      </c>
      <c r="BJ33" s="30">
        <f t="shared" si="12"/>
        <v>18.824397992795195</v>
      </c>
      <c r="BK33" s="30">
        <f t="shared" si="13"/>
        <v>18.824397992795173</v>
      </c>
      <c r="BL33" s="31">
        <f t="shared" si="7"/>
        <v>18.510104763910789</v>
      </c>
    </row>
    <row r="34" spans="2:64" ht="15" x14ac:dyDescent="0.4">
      <c r="B34" t="s">
        <v>74</v>
      </c>
      <c r="C34" s="26">
        <v>53923</v>
      </c>
      <c r="D34" t="s">
        <v>72</v>
      </c>
      <c r="E34" t="s">
        <v>75</v>
      </c>
      <c r="F34" t="s">
        <v>32</v>
      </c>
      <c r="G34" t="s">
        <v>33</v>
      </c>
      <c r="H34" t="s">
        <v>76</v>
      </c>
      <c r="J34" s="27">
        <v>1557.2482828295992</v>
      </c>
      <c r="K34" s="27">
        <v>1220.0015710512423</v>
      </c>
      <c r="L34" s="27">
        <v>1554.9680481319767</v>
      </c>
      <c r="M34" s="27">
        <v>1848.4342537159823</v>
      </c>
      <c r="N34" s="28">
        <f t="shared" si="8"/>
        <v>6180.6521557287997</v>
      </c>
      <c r="O34" s="27">
        <v>1856.3343994569864</v>
      </c>
      <c r="P34" s="27">
        <v>2089.4876289789927</v>
      </c>
      <c r="Q34" s="27">
        <v>2841.3697465344649</v>
      </c>
      <c r="R34" s="27">
        <v>1971.4908541864704</v>
      </c>
      <c r="S34" s="27">
        <v>1434.0529013899848</v>
      </c>
      <c r="T34" s="27">
        <v>1653.2515149501355</v>
      </c>
      <c r="U34" s="27">
        <v>1877.945530371368</v>
      </c>
      <c r="V34" s="27">
        <v>1894.6787203079289</v>
      </c>
      <c r="W34" s="27">
        <v>1265.0538576395254</v>
      </c>
      <c r="X34" s="27">
        <v>991.08646373350405</v>
      </c>
      <c r="Y34" s="27">
        <v>1263.2014749897246</v>
      </c>
      <c r="Z34" s="27">
        <v>1501.6031220195059</v>
      </c>
      <c r="AA34" s="28">
        <f t="shared" si="9"/>
        <v>20639.556214558594</v>
      </c>
      <c r="AB34" s="29"/>
      <c r="AC34" s="27">
        <v>41868.629039965977</v>
      </c>
      <c r="AD34" s="27">
        <v>32801.316122632423</v>
      </c>
      <c r="AE34" s="27">
        <v>41807.32198846266</v>
      </c>
      <c r="AF34" s="27">
        <v>49697.539516933437</v>
      </c>
      <c r="AG34" s="28">
        <f t="shared" si="10"/>
        <v>166174.80666799447</v>
      </c>
      <c r="AH34" s="27">
        <v>49345.221429599973</v>
      </c>
      <c r="AI34" s="27">
        <v>55542.918213732846</v>
      </c>
      <c r="AJ34" s="27">
        <v>75529.505539046804</v>
      </c>
      <c r="AK34" s="27">
        <v>52406.319020279981</v>
      </c>
      <c r="AL34" s="27">
        <v>39476.301679890152</v>
      </c>
      <c r="AM34" s="27">
        <v>45704.731104598221</v>
      </c>
      <c r="AN34" s="27">
        <v>51916.477752203558</v>
      </c>
      <c r="AO34" s="27">
        <v>52379.072789714119</v>
      </c>
      <c r="AP34" s="27">
        <v>34972.86763290417</v>
      </c>
      <c r="AQ34" s="27">
        <v>27398.940764142186</v>
      </c>
      <c r="AR34" s="27">
        <v>34921.657850153912</v>
      </c>
      <c r="AS34" s="27">
        <v>41512.356890111099</v>
      </c>
      <c r="AT34" s="28">
        <f t="shared" si="11"/>
        <v>561106.37066637701</v>
      </c>
      <c r="AU34" s="30">
        <f t="shared" si="12"/>
        <v>26.886290067945076</v>
      </c>
      <c r="AV34" s="30">
        <f t="shared" si="12"/>
        <v>26.88629006794509</v>
      </c>
      <c r="AW34" s="30">
        <f t="shared" si="12"/>
        <v>26.886290067945044</v>
      </c>
      <c r="AX34" s="30">
        <f t="shared" si="12"/>
        <v>26.886290067945051</v>
      </c>
      <c r="AY34" s="31">
        <f t="shared" si="12"/>
        <v>26.886290067945065</v>
      </c>
      <c r="AZ34" s="30">
        <f t="shared" si="12"/>
        <v>26.582075645441037</v>
      </c>
      <c r="BA34" s="30">
        <f t="shared" si="12"/>
        <v>26.582075645441051</v>
      </c>
      <c r="BB34" s="30">
        <f t="shared" si="12"/>
        <v>26.582075645441048</v>
      </c>
      <c r="BC34" s="30">
        <f t="shared" si="12"/>
        <v>26.582075645441066</v>
      </c>
      <c r="BD34" s="30">
        <f t="shared" si="12"/>
        <v>27.527786207626615</v>
      </c>
      <c r="BE34" s="30">
        <f t="shared" si="12"/>
        <v>27.645358671258645</v>
      </c>
      <c r="BF34" s="30">
        <f t="shared" si="12"/>
        <v>27.64535867125867</v>
      </c>
      <c r="BG34" s="30">
        <f t="shared" si="12"/>
        <v>27.645358671258691</v>
      </c>
      <c r="BH34" s="30">
        <f t="shared" si="12"/>
        <v>27.645358671258737</v>
      </c>
      <c r="BI34" s="30">
        <f t="shared" si="12"/>
        <v>27.645358671258737</v>
      </c>
      <c r="BJ34" s="30">
        <f t="shared" si="12"/>
        <v>27.645358671258659</v>
      </c>
      <c r="BK34" s="30">
        <f t="shared" si="13"/>
        <v>27.645358671258709</v>
      </c>
      <c r="BL34" s="31">
        <f t="shared" si="7"/>
        <v>27.185970707576917</v>
      </c>
    </row>
    <row r="35" spans="2:64" ht="15" x14ac:dyDescent="0.4">
      <c r="B35" t="s">
        <v>77</v>
      </c>
      <c r="C35" s="26">
        <v>53924</v>
      </c>
      <c r="D35" t="s">
        <v>72</v>
      </c>
      <c r="E35" t="s">
        <v>75</v>
      </c>
      <c r="F35" t="s">
        <v>32</v>
      </c>
      <c r="G35" t="s">
        <v>33</v>
      </c>
      <c r="H35" t="s">
        <v>76</v>
      </c>
      <c r="J35" s="27">
        <v>787.44053509278444</v>
      </c>
      <c r="K35" s="27">
        <v>616.90784990112718</v>
      </c>
      <c r="L35" s="27">
        <v>786.28750814760701</v>
      </c>
      <c r="M35" s="27">
        <v>934.68207599186974</v>
      </c>
      <c r="N35" s="28">
        <f t="shared" si="8"/>
        <v>3125.3179691333885</v>
      </c>
      <c r="O35" s="27">
        <v>1268.6908826882946</v>
      </c>
      <c r="P35" s="27">
        <v>1428.0368370866145</v>
      </c>
      <c r="Q35" s="27">
        <v>1941.9022202191109</v>
      </c>
      <c r="R35" s="27">
        <v>1347.3932674745408</v>
      </c>
      <c r="S35" s="27">
        <v>980.08733869197954</v>
      </c>
      <c r="T35" s="27">
        <v>1129.8961676416711</v>
      </c>
      <c r="U35" s="27">
        <v>1283.4607672326301</v>
      </c>
      <c r="V35" s="27">
        <v>1294.8968778369606</v>
      </c>
      <c r="W35" s="27">
        <v>864.58684155527533</v>
      </c>
      <c r="X35" s="27">
        <v>677.34690520322715</v>
      </c>
      <c r="Y35" s="27">
        <v>863.32085145147539</v>
      </c>
      <c r="Z35" s="27">
        <v>1026.2537778105593</v>
      </c>
      <c r="AA35" s="28">
        <f t="shared" si="9"/>
        <v>14105.872734892338</v>
      </c>
      <c r="AB35" s="29"/>
      <c r="AC35" s="27">
        <v>18109.538813744908</v>
      </c>
      <c r="AD35" s="27">
        <v>14187.63215049879</v>
      </c>
      <c r="AE35" s="27">
        <v>18083.021527313213</v>
      </c>
      <c r="AF35" s="27">
        <v>21495.796291070965</v>
      </c>
      <c r="AG35" s="28">
        <f t="shared" si="10"/>
        <v>71875.988782627872</v>
      </c>
      <c r="AH35" s="27">
        <v>28660.601163003063</v>
      </c>
      <c r="AI35" s="27">
        <v>32260.336061602691</v>
      </c>
      <c r="AJ35" s="27">
        <v>43868.909117812378</v>
      </c>
      <c r="AK35" s="27">
        <v>30438.542260960767</v>
      </c>
      <c r="AL35" s="27">
        <v>22923.255443816503</v>
      </c>
      <c r="AM35" s="27">
        <v>26546.138237925199</v>
      </c>
      <c r="AN35" s="27">
        <v>30154.033552502602</v>
      </c>
      <c r="AO35" s="27">
        <v>30422.717155209528</v>
      </c>
      <c r="AP35" s="27">
        <v>20312.876945606393</v>
      </c>
      <c r="AQ35" s="27">
        <v>15913.802609035936</v>
      </c>
      <c r="AR35" s="27">
        <v>20283.133373351036</v>
      </c>
      <c r="AS35" s="27">
        <v>24111.131122618212</v>
      </c>
      <c r="AT35" s="28">
        <f t="shared" si="11"/>
        <v>325895.47704344429</v>
      </c>
      <c r="AU35" s="30">
        <f t="shared" si="12"/>
        <v>22.997976363524458</v>
      </c>
      <c r="AV35" s="30">
        <f t="shared" si="12"/>
        <v>22.997976363524415</v>
      </c>
      <c r="AW35" s="30">
        <f t="shared" si="12"/>
        <v>22.997976363524462</v>
      </c>
      <c r="AX35" s="30">
        <f t="shared" si="12"/>
        <v>22.99797636352443</v>
      </c>
      <c r="AY35" s="31">
        <f t="shared" si="12"/>
        <v>22.99797636352444</v>
      </c>
      <c r="AZ35" s="30">
        <f t="shared" si="12"/>
        <v>22.590688996103321</v>
      </c>
      <c r="BA35" s="30">
        <f t="shared" si="12"/>
        <v>22.590688996103264</v>
      </c>
      <c r="BB35" s="30">
        <f t="shared" si="12"/>
        <v>22.590688996103271</v>
      </c>
      <c r="BC35" s="30">
        <f t="shared" si="12"/>
        <v>22.590688996103289</v>
      </c>
      <c r="BD35" s="30">
        <f t="shared" si="12"/>
        <v>23.388992530410384</v>
      </c>
      <c r="BE35" s="30">
        <f t="shared" si="12"/>
        <v>23.494316555947371</v>
      </c>
      <c r="BF35" s="30">
        <f t="shared" si="12"/>
        <v>23.494316555947453</v>
      </c>
      <c r="BG35" s="30">
        <f t="shared" si="12"/>
        <v>23.494316555947421</v>
      </c>
      <c r="BH35" s="30">
        <f t="shared" si="12"/>
        <v>23.494316555947417</v>
      </c>
      <c r="BI35" s="30">
        <f t="shared" si="12"/>
        <v>23.494316555947432</v>
      </c>
      <c r="BJ35" s="30">
        <f t="shared" si="12"/>
        <v>23.494316555947439</v>
      </c>
      <c r="BK35" s="30">
        <f t="shared" si="13"/>
        <v>23.494316555947425</v>
      </c>
      <c r="BL35" s="31">
        <f t="shared" si="7"/>
        <v>23.103531640215927</v>
      </c>
    </row>
    <row r="36" spans="2:64" ht="15" x14ac:dyDescent="0.4">
      <c r="B36" t="s">
        <v>78</v>
      </c>
      <c r="C36" s="26">
        <v>53926</v>
      </c>
      <c r="D36" t="s">
        <v>72</v>
      </c>
      <c r="E36" t="s">
        <v>75</v>
      </c>
      <c r="F36" t="s">
        <v>32</v>
      </c>
      <c r="G36" t="s">
        <v>33</v>
      </c>
      <c r="H36" t="s">
        <v>76</v>
      </c>
      <c r="J36" s="27">
        <v>909.94982735603514</v>
      </c>
      <c r="K36" s="27">
        <v>712.88581993809646</v>
      </c>
      <c r="L36" s="27">
        <v>908.61741351277624</v>
      </c>
      <c r="M36" s="27">
        <v>1080.0990751401509</v>
      </c>
      <c r="N36" s="28">
        <f t="shared" si="8"/>
        <v>3611.552135947059</v>
      </c>
      <c r="O36" s="27">
        <v>1462.2156341976299</v>
      </c>
      <c r="P36" s="27">
        <v>1645.8680502011632</v>
      </c>
      <c r="Q36" s="27">
        <v>2238.117909754932</v>
      </c>
      <c r="R36" s="27">
        <v>1552.9231966570037</v>
      </c>
      <c r="S36" s="27">
        <v>1129.5888140047869</v>
      </c>
      <c r="T36" s="27">
        <v>1302.2493216352284</v>
      </c>
      <c r="U36" s="27">
        <v>1479.2385011471101</v>
      </c>
      <c r="V36" s="27">
        <v>1492.4190638422783</v>
      </c>
      <c r="W36" s="27">
        <v>996.46999445985387</v>
      </c>
      <c r="X36" s="27">
        <v>780.66867830315755</v>
      </c>
      <c r="Y36" s="27">
        <v>995.0108915784682</v>
      </c>
      <c r="Z36" s="27">
        <v>1182.7974324125919</v>
      </c>
      <c r="AA36" s="28">
        <f t="shared" si="9"/>
        <v>16257.567488194205</v>
      </c>
      <c r="AB36" s="29"/>
      <c r="AC36" s="27">
        <v>39460.1390459869</v>
      </c>
      <c r="AD36" s="27">
        <v>30914.422678013252</v>
      </c>
      <c r="AE36" s="27">
        <v>39402.358678387296</v>
      </c>
      <c r="AF36" s="27">
        <v>46838.691988449609</v>
      </c>
      <c r="AG36" s="28">
        <f t="shared" si="10"/>
        <v>156615.61239083705</v>
      </c>
      <c r="AH36" s="27">
        <v>62287.123485259188</v>
      </c>
      <c r="AI36" s="27">
        <v>70110.306637213056</v>
      </c>
      <c r="AJ36" s="27">
        <v>95338.829211720804</v>
      </c>
      <c r="AK36" s="27">
        <v>66151.06325707963</v>
      </c>
      <c r="AL36" s="27">
        <v>49822.959273599794</v>
      </c>
      <c r="AM36" s="27">
        <v>57691.832110515199</v>
      </c>
      <c r="AN36" s="27">
        <v>65532.750020885527</v>
      </c>
      <c r="AO36" s="27">
        <v>66116.671085384063</v>
      </c>
      <c r="AP36" s="27">
        <v>44145.294352202975</v>
      </c>
      <c r="AQ36" s="27">
        <v>34584.933602460456</v>
      </c>
      <c r="AR36" s="27">
        <v>44080.653643955942</v>
      </c>
      <c r="AS36" s="27">
        <v>52399.912795354627</v>
      </c>
      <c r="AT36" s="28">
        <f t="shared" si="11"/>
        <v>708262.32947563124</v>
      </c>
      <c r="AU36" s="30">
        <f t="shared" ref="AU36:BJ99" si="14">IFERROR(AC36/J36,0)</f>
        <v>43.365181089866148</v>
      </c>
      <c r="AV36" s="30">
        <f t="shared" si="14"/>
        <v>43.365181089866134</v>
      </c>
      <c r="AW36" s="30">
        <f t="shared" si="14"/>
        <v>43.365181089866105</v>
      </c>
      <c r="AX36" s="30">
        <f t="shared" si="14"/>
        <v>43.365181089866169</v>
      </c>
      <c r="AY36" s="31">
        <f t="shared" si="14"/>
        <v>43.365181089866134</v>
      </c>
      <c r="AZ36" s="30">
        <f t="shared" si="14"/>
        <v>42.597768775354645</v>
      </c>
      <c r="BA36" s="30">
        <f t="shared" si="14"/>
        <v>42.597768775354716</v>
      </c>
      <c r="BB36" s="30">
        <f t="shared" si="14"/>
        <v>42.597768775354716</v>
      </c>
      <c r="BC36" s="30">
        <f t="shared" si="14"/>
        <v>42.597768775354645</v>
      </c>
      <c r="BD36" s="30">
        <f t="shared" si="14"/>
        <v>44.107164178582828</v>
      </c>
      <c r="BE36" s="30">
        <f t="shared" si="14"/>
        <v>44.301679526368908</v>
      </c>
      <c r="BF36" s="30">
        <f t="shared" si="14"/>
        <v>44.301679526368886</v>
      </c>
      <c r="BG36" s="30">
        <f t="shared" si="14"/>
        <v>44.301679526368872</v>
      </c>
      <c r="BH36" s="30">
        <f t="shared" si="14"/>
        <v>44.301679526368837</v>
      </c>
      <c r="BI36" s="30">
        <f t="shared" si="14"/>
        <v>44.301679526368893</v>
      </c>
      <c r="BJ36" s="30">
        <f t="shared" si="14"/>
        <v>44.30167952636895</v>
      </c>
      <c r="BK36" s="30">
        <f t="shared" si="13"/>
        <v>44.3016795263689</v>
      </c>
      <c r="BL36" s="31">
        <f t="shared" si="7"/>
        <v>43.565086227687608</v>
      </c>
    </row>
    <row r="37" spans="2:64" ht="15" x14ac:dyDescent="0.4">
      <c r="B37" t="s">
        <v>79</v>
      </c>
      <c r="C37" s="26">
        <v>52468</v>
      </c>
      <c r="D37" t="s">
        <v>72</v>
      </c>
      <c r="E37" t="s">
        <v>72</v>
      </c>
      <c r="F37" t="s">
        <v>32</v>
      </c>
      <c r="G37" t="s">
        <v>33</v>
      </c>
      <c r="H37" t="s">
        <v>34</v>
      </c>
      <c r="J37" s="27">
        <v>1408.0154778176357</v>
      </c>
      <c r="K37" s="27">
        <v>1103.0874870387972</v>
      </c>
      <c r="L37" s="27">
        <v>1405.953760503377</v>
      </c>
      <c r="M37" s="27">
        <v>1671.2967788484518</v>
      </c>
      <c r="N37" s="28">
        <f t="shared" si="8"/>
        <v>5588.3535042082613</v>
      </c>
      <c r="O37" s="27">
        <v>958.40506948201642</v>
      </c>
      <c r="P37" s="27">
        <v>1078.7795220619821</v>
      </c>
      <c r="Q37" s="27">
        <v>1466.9680043358815</v>
      </c>
      <c r="R37" s="27">
        <v>1017.859082739865</v>
      </c>
      <c r="S37" s="27">
        <v>740.38576831824889</v>
      </c>
      <c r="T37" s="27">
        <v>853.5556058868076</v>
      </c>
      <c r="U37" s="27">
        <v>969.5626591014518</v>
      </c>
      <c r="V37" s="27">
        <v>978.20182134964318</v>
      </c>
      <c r="W37" s="27">
        <v>653.13341749426388</v>
      </c>
      <c r="X37" s="27">
        <v>511.68705994730715</v>
      </c>
      <c r="Y37" s="27">
        <v>652.17705266974087</v>
      </c>
      <c r="Z37" s="27">
        <v>775.26120558585535</v>
      </c>
      <c r="AA37" s="28">
        <f t="shared" si="9"/>
        <v>10655.976268973063</v>
      </c>
      <c r="AB37" s="29"/>
      <c r="AC37" s="27">
        <v>25397.50058808727</v>
      </c>
      <c r="AD37" s="27">
        <v>19897.27069208262</v>
      </c>
      <c r="AE37" s="27">
        <v>25360.31174497704</v>
      </c>
      <c r="AF37" s="27">
        <v>30146.515853265057</v>
      </c>
      <c r="AG37" s="28">
        <f t="shared" si="10"/>
        <v>100801.59887841198</v>
      </c>
      <c r="AH37" s="27">
        <v>17163.947515356835</v>
      </c>
      <c r="AI37" s="27">
        <v>19319.717400202084</v>
      </c>
      <c r="AJ37" s="27">
        <v>26271.732730647134</v>
      </c>
      <c r="AK37" s="27">
        <v>18228.701444180024</v>
      </c>
      <c r="AL37" s="27">
        <v>13787.226773881794</v>
      </c>
      <c r="AM37" s="27">
        <v>15897.661073464162</v>
      </c>
      <c r="AN37" s="27">
        <v>18058.317979022933</v>
      </c>
      <c r="AO37" s="27">
        <v>18219.224277843055</v>
      </c>
      <c r="AP37" s="27">
        <v>12164.753690873336</v>
      </c>
      <c r="AQ37" s="27">
        <v>9530.2841415564199</v>
      </c>
      <c r="AR37" s="27">
        <v>12146.941185468899</v>
      </c>
      <c r="AS37" s="27">
        <v>14439.410631020541</v>
      </c>
      <c r="AT37" s="28">
        <f t="shared" si="11"/>
        <v>195227.91884351723</v>
      </c>
      <c r="AU37" s="30">
        <f t="shared" si="14"/>
        <v>18.037799291419951</v>
      </c>
      <c r="AV37" s="30">
        <f t="shared" si="14"/>
        <v>18.03779929141994</v>
      </c>
      <c r="AW37" s="30">
        <f t="shared" si="14"/>
        <v>18.037799291419958</v>
      </c>
      <c r="AX37" s="30">
        <f t="shared" si="14"/>
        <v>18.037799291419955</v>
      </c>
      <c r="AY37" s="31">
        <f t="shared" si="14"/>
        <v>18.037799291419951</v>
      </c>
      <c r="AZ37" s="30">
        <f t="shared" si="14"/>
        <v>17.908865532851713</v>
      </c>
      <c r="BA37" s="30">
        <f t="shared" si="14"/>
        <v>17.908865532851721</v>
      </c>
      <c r="BB37" s="30">
        <f t="shared" si="14"/>
        <v>17.908865532851717</v>
      </c>
      <c r="BC37" s="30">
        <f t="shared" si="14"/>
        <v>17.90886553285171</v>
      </c>
      <c r="BD37" s="30">
        <f t="shared" si="14"/>
        <v>18.621679891550084</v>
      </c>
      <c r="BE37" s="30">
        <f t="shared" si="14"/>
        <v>18.625220154165792</v>
      </c>
      <c r="BF37" s="30">
        <f t="shared" si="14"/>
        <v>18.625220154165788</v>
      </c>
      <c r="BG37" s="30">
        <f t="shared" si="14"/>
        <v>18.625220154165788</v>
      </c>
      <c r="BH37" s="30">
        <f t="shared" si="14"/>
        <v>18.625220154165781</v>
      </c>
      <c r="BI37" s="30">
        <f t="shared" si="14"/>
        <v>18.625220154165781</v>
      </c>
      <c r="BJ37" s="30">
        <f t="shared" si="14"/>
        <v>18.625220154165785</v>
      </c>
      <c r="BK37" s="30">
        <f t="shared" si="13"/>
        <v>18.625220154165788</v>
      </c>
      <c r="BL37" s="31">
        <f t="shared" si="7"/>
        <v>18.320979130927785</v>
      </c>
    </row>
    <row r="38" spans="2:64" ht="15" x14ac:dyDescent="0.4">
      <c r="B38" t="s">
        <v>80</v>
      </c>
      <c r="C38" s="26">
        <v>51143</v>
      </c>
      <c r="D38" t="s">
        <v>81</v>
      </c>
      <c r="E38" t="s">
        <v>81</v>
      </c>
      <c r="F38" t="s">
        <v>32</v>
      </c>
      <c r="G38" t="s">
        <v>33</v>
      </c>
      <c r="H38" t="s">
        <v>34</v>
      </c>
      <c r="J38" s="27">
        <v>1073.1735499577821</v>
      </c>
      <c r="K38" s="27">
        <v>378.84107280074437</v>
      </c>
      <c r="L38" s="27">
        <v>1554.0779774745863</v>
      </c>
      <c r="M38" s="27">
        <v>575.42615503709624</v>
      </c>
      <c r="N38" s="28">
        <f t="shared" si="8"/>
        <v>3581.5187552702087</v>
      </c>
      <c r="O38" s="27">
        <v>661.9937340667401</v>
      </c>
      <c r="P38" s="27">
        <v>921.11961536951662</v>
      </c>
      <c r="Q38" s="27">
        <v>2276.2420084313026</v>
      </c>
      <c r="R38" s="27">
        <v>671.20191758571059</v>
      </c>
      <c r="S38" s="27">
        <v>493.54815788751011</v>
      </c>
      <c r="T38" s="27">
        <v>1249.9290476266865</v>
      </c>
      <c r="U38" s="27">
        <v>969.12529473941277</v>
      </c>
      <c r="V38" s="27">
        <v>1474.095267745764</v>
      </c>
      <c r="W38" s="27">
        <v>1118.342402347017</v>
      </c>
      <c r="X38" s="27">
        <v>394.78613266267388</v>
      </c>
      <c r="Y38" s="27">
        <v>1619.4876390979769</v>
      </c>
      <c r="Z38" s="27">
        <v>599.64529373912455</v>
      </c>
      <c r="AA38" s="28">
        <f t="shared" si="9"/>
        <v>12449.516511299435</v>
      </c>
      <c r="AB38" s="29"/>
      <c r="AC38" s="27">
        <v>27495.429674089755</v>
      </c>
      <c r="AD38" s="27">
        <v>9706.1636258733361</v>
      </c>
      <c r="AE38" s="27">
        <v>39816.525238984046</v>
      </c>
      <c r="AF38" s="27">
        <v>14742.805932066392</v>
      </c>
      <c r="AG38" s="28">
        <f t="shared" si="10"/>
        <v>91760.924471013524</v>
      </c>
      <c r="AH38" s="27">
        <v>17573.593153237001</v>
      </c>
      <c r="AI38" s="27">
        <v>24452.469159380416</v>
      </c>
      <c r="AJ38" s="27">
        <v>60426.177644826406</v>
      </c>
      <c r="AK38" s="27">
        <v>17818.037870030072</v>
      </c>
      <c r="AL38" s="27">
        <v>13619.29958445408</v>
      </c>
      <c r="AM38" s="27">
        <v>34508.444959446497</v>
      </c>
      <c r="AN38" s="27">
        <v>26755.924230917419</v>
      </c>
      <c r="AO38" s="27">
        <v>40697.298385514528</v>
      </c>
      <c r="AP38" s="27">
        <v>30875.558345079353</v>
      </c>
      <c r="AQ38" s="27">
        <v>10899.38309347261</v>
      </c>
      <c r="AR38" s="27">
        <v>44711.337945486208</v>
      </c>
      <c r="AS38" s="27">
        <v>16555.20099599125</v>
      </c>
      <c r="AT38" s="28">
        <f t="shared" si="11"/>
        <v>338892.72536783578</v>
      </c>
      <c r="AU38" s="30">
        <f t="shared" si="14"/>
        <v>25.620674004844236</v>
      </c>
      <c r="AV38" s="30">
        <f t="shared" si="14"/>
        <v>25.62067400484424</v>
      </c>
      <c r="AW38" s="30">
        <f t="shared" si="14"/>
        <v>25.62067400484424</v>
      </c>
      <c r="AX38" s="30">
        <f t="shared" si="14"/>
        <v>25.620674004844222</v>
      </c>
      <c r="AY38" s="31">
        <f t="shared" si="14"/>
        <v>25.620674004844236</v>
      </c>
      <c r="AZ38" s="30">
        <f t="shared" si="14"/>
        <v>26.54646448883954</v>
      </c>
      <c r="BA38" s="30">
        <f t="shared" si="14"/>
        <v>26.546464488839547</v>
      </c>
      <c r="BB38" s="30">
        <f t="shared" si="14"/>
        <v>26.546464488839558</v>
      </c>
      <c r="BC38" s="30">
        <f t="shared" si="14"/>
        <v>26.546464488839543</v>
      </c>
      <c r="BD38" s="30">
        <f t="shared" si="14"/>
        <v>27.594672104030426</v>
      </c>
      <c r="BE38" s="30">
        <f t="shared" si="14"/>
        <v>27.608323068393123</v>
      </c>
      <c r="BF38" s="30">
        <f t="shared" si="14"/>
        <v>27.608323068393126</v>
      </c>
      <c r="BG38" s="30">
        <f t="shared" si="14"/>
        <v>27.608323068393133</v>
      </c>
      <c r="BH38" s="30">
        <f t="shared" si="14"/>
        <v>27.60832306839314</v>
      </c>
      <c r="BI38" s="30">
        <f t="shared" si="14"/>
        <v>27.60832306839313</v>
      </c>
      <c r="BJ38" s="30">
        <f t="shared" si="14"/>
        <v>27.608323068393133</v>
      </c>
      <c r="BK38" s="30">
        <f t="shared" si="13"/>
        <v>27.608323068393137</v>
      </c>
      <c r="BL38" s="31">
        <f t="shared" si="7"/>
        <v>27.221356352292865</v>
      </c>
    </row>
    <row r="39" spans="2:64" ht="15" x14ac:dyDescent="0.4">
      <c r="B39" t="s">
        <v>82</v>
      </c>
      <c r="C39" s="26">
        <v>51671</v>
      </c>
      <c r="D39" t="s">
        <v>81</v>
      </c>
      <c r="E39" t="s">
        <v>81</v>
      </c>
      <c r="F39" t="s">
        <v>32</v>
      </c>
      <c r="G39" t="s">
        <v>33</v>
      </c>
      <c r="H39" t="s">
        <v>34</v>
      </c>
      <c r="J39" s="27">
        <v>602.3862113189266</v>
      </c>
      <c r="K39" s="27">
        <v>212.64840020089542</v>
      </c>
      <c r="L39" s="27">
        <v>872.32409425476817</v>
      </c>
      <c r="M39" s="27">
        <v>322.99415266081598</v>
      </c>
      <c r="N39" s="28">
        <f t="shared" si="8"/>
        <v>2010.3528584354062</v>
      </c>
      <c r="O39" s="27">
        <v>354.16366880689867</v>
      </c>
      <c r="P39" s="27">
        <v>492.79484925816246</v>
      </c>
      <c r="Q39" s="27">
        <v>1217.779231603934</v>
      </c>
      <c r="R39" s="27">
        <v>359.09000555345915</v>
      </c>
      <c r="S39" s="27">
        <v>264.04604354261852</v>
      </c>
      <c r="T39" s="27">
        <v>668.70641589962599</v>
      </c>
      <c r="U39" s="27">
        <v>518.47767169934309</v>
      </c>
      <c r="V39" s="27">
        <v>788.63433493328773</v>
      </c>
      <c r="W39" s="27">
        <v>598.30815280437275</v>
      </c>
      <c r="X39" s="27">
        <v>211.2088044685382</v>
      </c>
      <c r="Y39" s="27">
        <v>866.41859935268974</v>
      </c>
      <c r="Z39" s="27">
        <v>320.80753379461447</v>
      </c>
      <c r="AA39" s="28">
        <f t="shared" si="9"/>
        <v>6660.4353117175451</v>
      </c>
      <c r="AB39" s="29"/>
      <c r="AC39" s="27">
        <v>19298.937236709382</v>
      </c>
      <c r="AD39" s="27">
        <v>6812.7192353527826</v>
      </c>
      <c r="AE39" s="27">
        <v>27947.067228235508</v>
      </c>
      <c r="AF39" s="27">
        <v>10347.919263253165</v>
      </c>
      <c r="AG39" s="28">
        <f t="shared" si="10"/>
        <v>64406.642963550839</v>
      </c>
      <c r="AH39" s="27">
        <v>11771.252622599393</v>
      </c>
      <c r="AI39" s="27">
        <v>16378.903802514005</v>
      </c>
      <c r="AJ39" s="27">
        <v>40475.035234573079</v>
      </c>
      <c r="AK39" s="27">
        <v>11934.988091409938</v>
      </c>
      <c r="AL39" s="27">
        <v>9121.6572183393546</v>
      </c>
      <c r="AM39" s="27">
        <v>23114.659574094523</v>
      </c>
      <c r="AN39" s="27">
        <v>17921.818294470108</v>
      </c>
      <c r="AO39" s="27">
        <v>27260.115570898895</v>
      </c>
      <c r="AP39" s="27">
        <v>20681.257041437242</v>
      </c>
      <c r="AQ39" s="27">
        <v>7300.6920499990447</v>
      </c>
      <c r="AR39" s="27">
        <v>29948.824321893902</v>
      </c>
      <c r="AS39" s="27">
        <v>11089.106902752363</v>
      </c>
      <c r="AT39" s="28">
        <f t="shared" si="11"/>
        <v>226998.31072498183</v>
      </c>
      <c r="AU39" s="30">
        <f t="shared" si="14"/>
        <v>32.037481725310904</v>
      </c>
      <c r="AV39" s="30">
        <f t="shared" si="14"/>
        <v>32.037481725310883</v>
      </c>
      <c r="AW39" s="30">
        <f t="shared" si="14"/>
        <v>32.03748172531089</v>
      </c>
      <c r="AX39" s="30">
        <f t="shared" si="14"/>
        <v>32.037481725310883</v>
      </c>
      <c r="AY39" s="31">
        <f t="shared" si="14"/>
        <v>32.03748172531089</v>
      </c>
      <c r="AZ39" s="30">
        <f t="shared" si="14"/>
        <v>33.236759327274349</v>
      </c>
      <c r="BA39" s="30">
        <f t="shared" si="14"/>
        <v>33.236759327274385</v>
      </c>
      <c r="BB39" s="30">
        <f t="shared" si="14"/>
        <v>33.236759327274378</v>
      </c>
      <c r="BC39" s="30">
        <f t="shared" si="14"/>
        <v>33.23675932727437</v>
      </c>
      <c r="BD39" s="30">
        <f t="shared" si="14"/>
        <v>34.545706862171059</v>
      </c>
      <c r="BE39" s="30">
        <f t="shared" si="14"/>
        <v>34.566229700365362</v>
      </c>
      <c r="BF39" s="30">
        <f t="shared" si="14"/>
        <v>34.566229700365348</v>
      </c>
      <c r="BG39" s="30">
        <f t="shared" si="14"/>
        <v>34.566229700365362</v>
      </c>
      <c r="BH39" s="30">
        <f t="shared" si="14"/>
        <v>34.566229700365355</v>
      </c>
      <c r="BI39" s="30">
        <f t="shared" si="14"/>
        <v>34.566229700365355</v>
      </c>
      <c r="BJ39" s="30">
        <f t="shared" si="14"/>
        <v>34.566229700365362</v>
      </c>
      <c r="BK39" s="30">
        <f t="shared" si="13"/>
        <v>34.566229700365348</v>
      </c>
      <c r="BL39" s="31">
        <f t="shared" si="7"/>
        <v>34.081602793383354</v>
      </c>
    </row>
    <row r="40" spans="2:64" ht="15" x14ac:dyDescent="0.4">
      <c r="B40" t="s">
        <v>83</v>
      </c>
      <c r="C40" s="26">
        <v>52140</v>
      </c>
      <c r="D40" t="s">
        <v>84</v>
      </c>
      <c r="E40" t="s">
        <v>84</v>
      </c>
      <c r="F40" t="s">
        <v>85</v>
      </c>
      <c r="G40" t="s">
        <v>33</v>
      </c>
      <c r="H40" t="s">
        <v>34</v>
      </c>
      <c r="J40" s="27">
        <v>75582.114899841661</v>
      </c>
      <c r="K40" s="27">
        <v>65255.113805415102</v>
      </c>
      <c r="L40" s="27">
        <v>73238.596849338559</v>
      </c>
      <c r="M40" s="27">
        <v>54836.827466621631</v>
      </c>
      <c r="N40" s="28">
        <f t="shared" si="8"/>
        <v>268912.65302121697</v>
      </c>
      <c r="O40" s="27">
        <v>51313.284562301502</v>
      </c>
      <c r="P40" s="27">
        <v>59381.220287596654</v>
      </c>
      <c r="Q40" s="27">
        <v>69685.808142880516</v>
      </c>
      <c r="R40" s="27">
        <v>56921.003498428719</v>
      </c>
      <c r="S40" s="27">
        <v>53304.752961871178</v>
      </c>
      <c r="T40" s="27">
        <v>46235.651845802277</v>
      </c>
      <c r="U40" s="27">
        <v>42886.20411090376</v>
      </c>
      <c r="V40" s="27">
        <v>67003.199822430222</v>
      </c>
      <c r="W40" s="27">
        <v>79648.513011113842</v>
      </c>
      <c r="X40" s="27">
        <v>68765.908282135075</v>
      </c>
      <c r="Y40" s="27">
        <v>77178.911198771922</v>
      </c>
      <c r="Z40" s="27">
        <v>57787.107065623517</v>
      </c>
      <c r="AA40" s="28">
        <f t="shared" si="9"/>
        <v>730111.56478985911</v>
      </c>
      <c r="AB40" s="29"/>
      <c r="AC40" s="27">
        <v>736810.49024791445</v>
      </c>
      <c r="AD40" s="27">
        <v>636137.9601227853</v>
      </c>
      <c r="AE40" s="27">
        <v>713964.75900601654</v>
      </c>
      <c r="AF40" s="27">
        <v>534575.53791480861</v>
      </c>
      <c r="AG40" s="28">
        <f t="shared" si="10"/>
        <v>2621488.7472915249</v>
      </c>
      <c r="AH40" s="27">
        <v>510206.79505634832</v>
      </c>
      <c r="AI40" s="27">
        <v>590426.0923442787</v>
      </c>
      <c r="AJ40" s="27">
        <v>692884.36974489351</v>
      </c>
      <c r="AK40" s="27">
        <v>565964.21402461757</v>
      </c>
      <c r="AL40" s="27">
        <v>547640.93110010284</v>
      </c>
      <c r="AM40" s="27">
        <v>478108.81148378883</v>
      </c>
      <c r="AN40" s="27">
        <v>443473.19131344685</v>
      </c>
      <c r="AO40" s="27">
        <v>692859.70790571498</v>
      </c>
      <c r="AP40" s="27">
        <v>823621.04505837185</v>
      </c>
      <c r="AQ40" s="27">
        <v>711087.33989569114</v>
      </c>
      <c r="AR40" s="27">
        <v>798083.6439360783</v>
      </c>
      <c r="AS40" s="27">
        <v>597558.89611709095</v>
      </c>
      <c r="AT40" s="28">
        <f t="shared" si="11"/>
        <v>7451915.0379804242</v>
      </c>
      <c r="AU40" s="30">
        <f t="shared" si="14"/>
        <v>9.7484767557021357</v>
      </c>
      <c r="AV40" s="30">
        <f t="shared" si="14"/>
        <v>9.7484767557021144</v>
      </c>
      <c r="AW40" s="30">
        <f t="shared" si="14"/>
        <v>9.7484767557021339</v>
      </c>
      <c r="AX40" s="30">
        <f t="shared" si="14"/>
        <v>9.7484767557021215</v>
      </c>
      <c r="AY40" s="31">
        <f t="shared" si="14"/>
        <v>9.7484767557021268</v>
      </c>
      <c r="AZ40" s="30">
        <f t="shared" si="14"/>
        <v>9.9429767439050973</v>
      </c>
      <c r="BA40" s="30">
        <f t="shared" si="14"/>
        <v>9.9429767439050902</v>
      </c>
      <c r="BB40" s="30">
        <f t="shared" si="14"/>
        <v>9.9429767439050991</v>
      </c>
      <c r="BC40" s="30">
        <f t="shared" si="14"/>
        <v>9.9429767439050991</v>
      </c>
      <c r="BD40" s="30">
        <f t="shared" si="14"/>
        <v>10.273772987782715</v>
      </c>
      <c r="BE40" s="30">
        <f t="shared" si="14"/>
        <v>10.340695813661297</v>
      </c>
      <c r="BF40" s="30">
        <f t="shared" si="14"/>
        <v>10.340695813661307</v>
      </c>
      <c r="BG40" s="30">
        <f t="shared" si="14"/>
        <v>10.340695813661288</v>
      </c>
      <c r="BH40" s="30">
        <f t="shared" si="14"/>
        <v>10.340695813661291</v>
      </c>
      <c r="BI40" s="30">
        <f t="shared" si="14"/>
        <v>10.3406958136613</v>
      </c>
      <c r="BJ40" s="30">
        <f t="shared" si="14"/>
        <v>10.340695813661304</v>
      </c>
      <c r="BK40" s="30">
        <f t="shared" si="13"/>
        <v>10.340695813661309</v>
      </c>
      <c r="BL40" s="31">
        <f t="shared" si="7"/>
        <v>10.206542941317792</v>
      </c>
    </row>
    <row r="41" spans="2:64" ht="15" x14ac:dyDescent="0.4">
      <c r="B41" t="s">
        <v>86</v>
      </c>
      <c r="C41" s="26">
        <v>52151</v>
      </c>
      <c r="D41" t="s">
        <v>84</v>
      </c>
      <c r="E41" t="s">
        <v>84</v>
      </c>
      <c r="F41" t="s">
        <v>85</v>
      </c>
      <c r="G41" t="s">
        <v>33</v>
      </c>
      <c r="H41" t="s">
        <v>34</v>
      </c>
      <c r="J41" s="27">
        <v>50813.871320829872</v>
      </c>
      <c r="K41" s="27">
        <v>43871.026370835389</v>
      </c>
      <c r="L41" s="27">
        <v>49238.323655696171</v>
      </c>
      <c r="M41" s="27">
        <v>36866.810332364716</v>
      </c>
      <c r="N41" s="28">
        <f t="shared" si="8"/>
        <v>180790.03167972615</v>
      </c>
      <c r="O41" s="27">
        <v>48460.974909867211</v>
      </c>
      <c r="P41" s="27">
        <v>56080.444879349343</v>
      </c>
      <c r="Q41" s="27">
        <v>65812.240023063569</v>
      </c>
      <c r="R41" s="27">
        <v>53756.982152110664</v>
      </c>
      <c r="S41" s="27">
        <v>50341.745181514161</v>
      </c>
      <c r="T41" s="27">
        <v>43665.588417368715</v>
      </c>
      <c r="U41" s="27">
        <v>40502.323698935958</v>
      </c>
      <c r="V41" s="27">
        <v>63278.747661012465</v>
      </c>
      <c r="W41" s="27">
        <v>75221.1561501861</v>
      </c>
      <c r="X41" s="27">
        <v>64943.473884792948</v>
      </c>
      <c r="Y41" s="27">
        <v>72888.830077393883</v>
      </c>
      <c r="Z41" s="27">
        <v>54574.942327476398</v>
      </c>
      <c r="AA41" s="28">
        <f t="shared" si="9"/>
        <v>689527.44936307147</v>
      </c>
      <c r="AB41" s="29"/>
      <c r="AC41" s="27">
        <v>925330.91038511798</v>
      </c>
      <c r="AD41" s="27">
        <v>798900.29466449376</v>
      </c>
      <c r="AE41" s="27">
        <v>896639.86761594401</v>
      </c>
      <c r="AF41" s="27">
        <v>671352.09896629746</v>
      </c>
      <c r="AG41" s="28">
        <f t="shared" si="10"/>
        <v>3292223.1716318531</v>
      </c>
      <c r="AH41" s="27">
        <v>893484.99615949253</v>
      </c>
      <c r="AI41" s="27">
        <v>1033966.7365512644</v>
      </c>
      <c r="AJ41" s="27">
        <v>1213393.852138161</v>
      </c>
      <c r="AK41" s="27">
        <v>991128.57471517182</v>
      </c>
      <c r="AL41" s="27">
        <v>960351.77680523135</v>
      </c>
      <c r="AM41" s="27">
        <v>837274.32431634469</v>
      </c>
      <c r="AN41" s="27">
        <v>776619.68926495977</v>
      </c>
      <c r="AO41" s="27">
        <v>1213350.6638006147</v>
      </c>
      <c r="AP41" s="27">
        <v>1442342.6998842366</v>
      </c>
      <c r="AQ41" s="27">
        <v>1245271.2808060439</v>
      </c>
      <c r="AR41" s="27">
        <v>1397621.0596301961</v>
      </c>
      <c r="AS41" s="27">
        <v>1046457.8542966724</v>
      </c>
      <c r="AT41" s="28">
        <f t="shared" si="11"/>
        <v>13051263.50836839</v>
      </c>
      <c r="AU41" s="30">
        <f t="shared" si="14"/>
        <v>18.210202968845671</v>
      </c>
      <c r="AV41" s="30">
        <f t="shared" si="14"/>
        <v>18.210202968845682</v>
      </c>
      <c r="AW41" s="30">
        <f t="shared" si="14"/>
        <v>18.210202968845703</v>
      </c>
      <c r="AX41" s="30">
        <f t="shared" si="14"/>
        <v>18.21020296884565</v>
      </c>
      <c r="AY41" s="31">
        <f t="shared" si="14"/>
        <v>18.210202968845678</v>
      </c>
      <c r="AZ41" s="30">
        <f t="shared" si="14"/>
        <v>18.437206387640558</v>
      </c>
      <c r="BA41" s="30">
        <f t="shared" si="14"/>
        <v>18.437206387640568</v>
      </c>
      <c r="BB41" s="30">
        <f t="shared" si="14"/>
        <v>18.437206387640554</v>
      </c>
      <c r="BC41" s="30">
        <f t="shared" si="14"/>
        <v>18.437206387640515</v>
      </c>
      <c r="BD41" s="30">
        <f t="shared" si="14"/>
        <v>19.07664848214041</v>
      </c>
      <c r="BE41" s="30">
        <f t="shared" si="14"/>
        <v>19.174694643146154</v>
      </c>
      <c r="BF41" s="30">
        <f t="shared" si="14"/>
        <v>19.174694643146179</v>
      </c>
      <c r="BG41" s="30">
        <f t="shared" si="14"/>
        <v>19.174694643146182</v>
      </c>
      <c r="BH41" s="30">
        <f t="shared" si="14"/>
        <v>19.174694643146189</v>
      </c>
      <c r="BI41" s="30">
        <f t="shared" si="14"/>
        <v>19.174694643146189</v>
      </c>
      <c r="BJ41" s="30">
        <f t="shared" si="14"/>
        <v>19.174694643146172</v>
      </c>
      <c r="BK41" s="30">
        <f t="shared" si="13"/>
        <v>19.174694643146161</v>
      </c>
      <c r="BL41" s="31">
        <f t="shared" si="7"/>
        <v>18.927837492798972</v>
      </c>
    </row>
    <row r="42" spans="2:64" ht="15" x14ac:dyDescent="0.4">
      <c r="B42" t="s">
        <v>87</v>
      </c>
      <c r="C42" s="26">
        <v>52631</v>
      </c>
      <c r="D42" t="s">
        <v>84</v>
      </c>
      <c r="E42" t="s">
        <v>84</v>
      </c>
      <c r="F42" t="s">
        <v>85</v>
      </c>
      <c r="G42" t="s">
        <v>33</v>
      </c>
      <c r="H42" t="s">
        <v>34</v>
      </c>
      <c r="J42" s="27">
        <v>48246.416526032037</v>
      </c>
      <c r="K42" s="27">
        <v>41654.370286961544</v>
      </c>
      <c r="L42" s="27">
        <v>46750.476009539809</v>
      </c>
      <c r="M42" s="27">
        <v>35004.05383504722</v>
      </c>
      <c r="N42" s="28">
        <f t="shared" si="8"/>
        <v>171655.31665758061</v>
      </c>
      <c r="O42" s="27">
        <v>28586.307296688472</v>
      </c>
      <c r="P42" s="27">
        <v>33080.903420489449</v>
      </c>
      <c r="Q42" s="27">
        <v>38821.52434369734</v>
      </c>
      <c r="R42" s="27">
        <v>31710.33215904082</v>
      </c>
      <c r="S42" s="27">
        <v>29695.741785775241</v>
      </c>
      <c r="T42" s="27">
        <v>25757.590125069222</v>
      </c>
      <c r="U42" s="27">
        <v>23891.633910402146</v>
      </c>
      <c r="V42" s="27">
        <v>37327.060162361609</v>
      </c>
      <c r="W42" s="27">
        <v>44371.684410409609</v>
      </c>
      <c r="X42" s="27">
        <v>38309.053931293274</v>
      </c>
      <c r="Y42" s="27">
        <v>42995.884811723867</v>
      </c>
      <c r="Z42" s="27">
        <v>32192.832995496297</v>
      </c>
      <c r="AA42" s="28">
        <f t="shared" si="9"/>
        <v>406740.54935244733</v>
      </c>
      <c r="AB42" s="29"/>
      <c r="AC42" s="27">
        <v>1205395.0275064537</v>
      </c>
      <c r="AD42" s="27">
        <v>1040698.4483650617</v>
      </c>
      <c r="AE42" s="27">
        <v>1168020.2463337989</v>
      </c>
      <c r="AF42" s="27">
        <v>874546.03830665641</v>
      </c>
      <c r="AG42" s="28">
        <f t="shared" si="10"/>
        <v>4288659.7605119711</v>
      </c>
      <c r="AH42" s="27">
        <v>719888.29588150524</v>
      </c>
      <c r="AI42" s="27">
        <v>833075.60303024959</v>
      </c>
      <c r="AJ42" s="27">
        <v>977641.52302889817</v>
      </c>
      <c r="AK42" s="27">
        <v>798560.53959277342</v>
      </c>
      <c r="AL42" s="27">
        <v>774277.73048641207</v>
      </c>
      <c r="AM42" s="27">
        <v>674598.88986187102</v>
      </c>
      <c r="AN42" s="27">
        <v>625728.94570820231</v>
      </c>
      <c r="AO42" s="27">
        <v>977606.72582597774</v>
      </c>
      <c r="AP42" s="27">
        <v>1162107.5146867298</v>
      </c>
      <c r="AQ42" s="27">
        <v>1003325.4325511005</v>
      </c>
      <c r="AR42" s="27">
        <v>1126074.9170159376</v>
      </c>
      <c r="AS42" s="27">
        <v>843139.80053334206</v>
      </c>
      <c r="AT42" s="28">
        <f t="shared" si="11"/>
        <v>10516025.918202998</v>
      </c>
      <c r="AU42" s="30">
        <f t="shared" si="14"/>
        <v>24.984135906882653</v>
      </c>
      <c r="AV42" s="30">
        <f t="shared" si="14"/>
        <v>24.984135906882649</v>
      </c>
      <c r="AW42" s="30">
        <f t="shared" si="14"/>
        <v>24.984135906882639</v>
      </c>
      <c r="AX42" s="30">
        <f t="shared" si="14"/>
        <v>24.984135906882646</v>
      </c>
      <c r="AY42" s="31">
        <f t="shared" si="14"/>
        <v>24.984135906882649</v>
      </c>
      <c r="AZ42" s="30">
        <f t="shared" si="14"/>
        <v>25.182976185416553</v>
      </c>
      <c r="BA42" s="30">
        <f t="shared" si="14"/>
        <v>25.182976185416518</v>
      </c>
      <c r="BB42" s="30">
        <f t="shared" si="14"/>
        <v>25.182976185416528</v>
      </c>
      <c r="BC42" s="30">
        <f t="shared" si="14"/>
        <v>25.182976185416546</v>
      </c>
      <c r="BD42" s="30">
        <f t="shared" si="14"/>
        <v>26.073695551101004</v>
      </c>
      <c r="BE42" s="30">
        <f t="shared" si="14"/>
        <v>26.190295232833165</v>
      </c>
      <c r="BF42" s="30">
        <f t="shared" si="14"/>
        <v>26.19029523283324</v>
      </c>
      <c r="BG42" s="30">
        <f t="shared" si="14"/>
        <v>26.190295232833211</v>
      </c>
      <c r="BH42" s="30">
        <f t="shared" si="14"/>
        <v>26.190295232833193</v>
      </c>
      <c r="BI42" s="30">
        <f t="shared" si="14"/>
        <v>26.190295232833208</v>
      </c>
      <c r="BJ42" s="30">
        <f t="shared" si="14"/>
        <v>26.190295232833215</v>
      </c>
      <c r="BK42" s="30">
        <f t="shared" si="13"/>
        <v>26.190295232833201</v>
      </c>
      <c r="BL42" s="31">
        <f t="shared" si="7"/>
        <v>25.85438293512922</v>
      </c>
    </row>
    <row r="43" spans="2:64" ht="15" x14ac:dyDescent="0.4">
      <c r="B43" t="s">
        <v>88</v>
      </c>
      <c r="C43" s="26">
        <v>52150</v>
      </c>
      <c r="D43" t="s">
        <v>84</v>
      </c>
      <c r="E43" t="s">
        <v>84</v>
      </c>
      <c r="F43" t="s">
        <v>85</v>
      </c>
      <c r="G43" t="s">
        <v>33</v>
      </c>
      <c r="H43" t="s">
        <v>34</v>
      </c>
      <c r="J43" s="27">
        <v>38806.663135968614</v>
      </c>
      <c r="K43" s="27">
        <v>33504.397471568205</v>
      </c>
      <c r="L43" s="27">
        <v>37603.41398556505</v>
      </c>
      <c r="M43" s="27">
        <v>28155.262574517743</v>
      </c>
      <c r="N43" s="28">
        <f t="shared" si="8"/>
        <v>138069.73716761961</v>
      </c>
      <c r="O43" s="27">
        <v>25066.513403540899</v>
      </c>
      <c r="P43" s="27">
        <v>29007.695900862353</v>
      </c>
      <c r="Q43" s="27">
        <v>34041.481825807859</v>
      </c>
      <c r="R43" s="27">
        <v>27805.881250965616</v>
      </c>
      <c r="S43" s="27">
        <v>26039.344703590155</v>
      </c>
      <c r="T43" s="27">
        <v>22586.092404728159</v>
      </c>
      <c r="U43" s="27">
        <v>20949.888890229788</v>
      </c>
      <c r="V43" s="27">
        <v>32731.029026019234</v>
      </c>
      <c r="W43" s="27">
        <v>38908.258085508853</v>
      </c>
      <c r="X43" s="27">
        <v>33592.111211824013</v>
      </c>
      <c r="Y43" s="27">
        <v>37701.858856566221</v>
      </c>
      <c r="Z43" s="27">
        <v>28228.972402918342</v>
      </c>
      <c r="AA43" s="28">
        <f t="shared" si="9"/>
        <v>356659.1279625615</v>
      </c>
      <c r="AB43" s="29"/>
      <c r="AC43" s="27">
        <v>383538.16234966641</v>
      </c>
      <c r="AD43" s="27">
        <v>331134.24341212318</v>
      </c>
      <c r="AE43" s="27">
        <v>371646.08169388806</v>
      </c>
      <c r="AF43" s="27">
        <v>278267.1014631507</v>
      </c>
      <c r="AG43" s="28">
        <f t="shared" si="10"/>
        <v>1364585.5889188284</v>
      </c>
      <c r="AH43" s="27">
        <v>250520.71642267954</v>
      </c>
      <c r="AI43" s="27">
        <v>289909.83476101293</v>
      </c>
      <c r="AJ43" s="27">
        <v>340218.69247624715</v>
      </c>
      <c r="AK43" s="27">
        <v>277898.61236831784</v>
      </c>
      <c r="AL43" s="27">
        <v>268523.84186309355</v>
      </c>
      <c r="AM43" s="27">
        <v>234760.02895587913</v>
      </c>
      <c r="AN43" s="27">
        <v>217753.3162603738</v>
      </c>
      <c r="AO43" s="27">
        <v>340206.58306947508</v>
      </c>
      <c r="AP43" s="27">
        <v>404412.75237432169</v>
      </c>
      <c r="AQ43" s="27">
        <v>349156.67834273272</v>
      </c>
      <c r="AR43" s="27">
        <v>391873.42893386504</v>
      </c>
      <c r="AS43" s="27">
        <v>293412.16975259164</v>
      </c>
      <c r="AT43" s="28">
        <f t="shared" si="11"/>
        <v>3658646.6555805895</v>
      </c>
      <c r="AU43" s="30">
        <f t="shared" si="14"/>
        <v>9.8833069209235251</v>
      </c>
      <c r="AV43" s="30">
        <f t="shared" si="14"/>
        <v>9.8833069209235394</v>
      </c>
      <c r="AW43" s="30">
        <f t="shared" si="14"/>
        <v>9.8833069209235394</v>
      </c>
      <c r="AX43" s="30">
        <f t="shared" si="14"/>
        <v>9.8833069209235394</v>
      </c>
      <c r="AY43" s="31">
        <f t="shared" si="14"/>
        <v>9.8833069209235358</v>
      </c>
      <c r="AZ43" s="30">
        <f t="shared" si="14"/>
        <v>9.9942386238403209</v>
      </c>
      <c r="BA43" s="30">
        <f t="shared" si="14"/>
        <v>9.9942386238403156</v>
      </c>
      <c r="BB43" s="30">
        <f t="shared" si="14"/>
        <v>9.9942386238403191</v>
      </c>
      <c r="BC43" s="30">
        <f t="shared" si="14"/>
        <v>9.9942386238403156</v>
      </c>
      <c r="BD43" s="30">
        <f t="shared" si="14"/>
        <v>10.31223500129291</v>
      </c>
      <c r="BE43" s="30">
        <f t="shared" si="14"/>
        <v>10.394008168793935</v>
      </c>
      <c r="BF43" s="30">
        <f t="shared" si="14"/>
        <v>10.394008168793938</v>
      </c>
      <c r="BG43" s="30">
        <f t="shared" si="14"/>
        <v>10.394008168793928</v>
      </c>
      <c r="BH43" s="30">
        <f t="shared" si="14"/>
        <v>10.394008168793935</v>
      </c>
      <c r="BI43" s="30">
        <f t="shared" si="14"/>
        <v>10.394008168793922</v>
      </c>
      <c r="BJ43" s="30">
        <f t="shared" si="14"/>
        <v>10.394008168793929</v>
      </c>
      <c r="BK43" s="30">
        <f t="shared" si="13"/>
        <v>10.394008168793929</v>
      </c>
      <c r="BL43" s="31">
        <f t="shared" si="7"/>
        <v>10.258104640363046</v>
      </c>
    </row>
    <row r="44" spans="2:64" ht="15" x14ac:dyDescent="0.4">
      <c r="B44" t="s">
        <v>89</v>
      </c>
      <c r="C44" s="26">
        <v>52152</v>
      </c>
      <c r="D44" t="s">
        <v>84</v>
      </c>
      <c r="E44" t="s">
        <v>84</v>
      </c>
      <c r="F44" t="s">
        <v>85</v>
      </c>
      <c r="G44" t="s">
        <v>33</v>
      </c>
      <c r="H44" t="s">
        <v>34</v>
      </c>
      <c r="J44" s="27">
        <v>27414.104272966924</v>
      </c>
      <c r="K44" s="27">
        <v>23668.436594775889</v>
      </c>
      <c r="L44" s="27">
        <v>26564.095665941186</v>
      </c>
      <c r="M44" s="27">
        <v>19889.65918935684</v>
      </c>
      <c r="N44" s="28">
        <f t="shared" si="8"/>
        <v>97536.295723040836</v>
      </c>
      <c r="O44" s="27">
        <v>16516.004673573174</v>
      </c>
      <c r="P44" s="27">
        <v>19112.799349292614</v>
      </c>
      <c r="Q44" s="27">
        <v>22429.496431321717</v>
      </c>
      <c r="R44" s="27">
        <v>18320.939067213698</v>
      </c>
      <c r="S44" s="27">
        <v>17156.990758855482</v>
      </c>
      <c r="T44" s="27">
        <v>14881.687042345149</v>
      </c>
      <c r="U44" s="27">
        <v>13803.613500272309</v>
      </c>
      <c r="V44" s="27">
        <v>21566.05586352625</v>
      </c>
      <c r="W44" s="27">
        <v>25636.152983688604</v>
      </c>
      <c r="X44" s="27">
        <v>22133.411888519866</v>
      </c>
      <c r="Y44" s="27">
        <v>24841.271981187587</v>
      </c>
      <c r="Z44" s="27">
        <v>18599.708409024599</v>
      </c>
      <c r="AA44" s="28">
        <f t="shared" si="9"/>
        <v>234998.13194882104</v>
      </c>
      <c r="AB44" s="29"/>
      <c r="AC44" s="27">
        <v>490889.05838629644</v>
      </c>
      <c r="AD44" s="27">
        <v>423817.47868896823</v>
      </c>
      <c r="AE44" s="27">
        <v>475668.42886769655</v>
      </c>
      <c r="AF44" s="27">
        <v>356153.021593182</v>
      </c>
      <c r="AG44" s="28">
        <f t="shared" si="10"/>
        <v>1746527.987536143</v>
      </c>
      <c r="AH44" s="27">
        <v>297752.96551230492</v>
      </c>
      <c r="AI44" s="27">
        <v>344568.3625047275</v>
      </c>
      <c r="AJ44" s="27">
        <v>404362.26613932318</v>
      </c>
      <c r="AK44" s="27">
        <v>330292.58867683087</v>
      </c>
      <c r="AL44" s="27">
        <v>320255.54294696718</v>
      </c>
      <c r="AM44" s="27">
        <v>279020.81633612752</v>
      </c>
      <c r="AN44" s="27">
        <v>258807.7209442126</v>
      </c>
      <c r="AO44" s="27">
        <v>404347.87366979686</v>
      </c>
      <c r="AP44" s="27">
        <v>480659.2366089311</v>
      </c>
      <c r="AQ44" s="27">
        <v>414985.38679559255</v>
      </c>
      <c r="AR44" s="27">
        <v>465755.79551540292</v>
      </c>
      <c r="AS44" s="27">
        <v>348731.01477896341</v>
      </c>
      <c r="AT44" s="28">
        <f t="shared" si="11"/>
        <v>4349539.5704291807</v>
      </c>
      <c r="AU44" s="30">
        <f t="shared" si="14"/>
        <v>17.906441643995738</v>
      </c>
      <c r="AV44" s="30">
        <f t="shared" si="14"/>
        <v>17.906441643995763</v>
      </c>
      <c r="AW44" s="30">
        <f t="shared" si="14"/>
        <v>17.906441643995759</v>
      </c>
      <c r="AX44" s="30">
        <f t="shared" si="14"/>
        <v>17.906441643995745</v>
      </c>
      <c r="AY44" s="31">
        <f t="shared" si="14"/>
        <v>17.906441643995752</v>
      </c>
      <c r="AZ44" s="30">
        <f t="shared" si="14"/>
        <v>18.02814732722446</v>
      </c>
      <c r="BA44" s="30">
        <f t="shared" si="14"/>
        <v>18.028147327224485</v>
      </c>
      <c r="BB44" s="30">
        <f t="shared" si="14"/>
        <v>18.02814732722446</v>
      </c>
      <c r="BC44" s="30">
        <f t="shared" si="14"/>
        <v>18.028147327224463</v>
      </c>
      <c r="BD44" s="30">
        <f t="shared" si="14"/>
        <v>18.666183799257986</v>
      </c>
      <c r="BE44" s="30">
        <f t="shared" si="14"/>
        <v>18.749273220313448</v>
      </c>
      <c r="BF44" s="30">
        <f t="shared" si="14"/>
        <v>18.749273220313434</v>
      </c>
      <c r="BG44" s="30">
        <f t="shared" si="14"/>
        <v>18.749273220313462</v>
      </c>
      <c r="BH44" s="30">
        <f t="shared" si="14"/>
        <v>18.749273220313434</v>
      </c>
      <c r="BI44" s="30">
        <f t="shared" si="14"/>
        <v>18.749273220313437</v>
      </c>
      <c r="BJ44" s="30">
        <f t="shared" si="14"/>
        <v>18.749273220313437</v>
      </c>
      <c r="BK44" s="30">
        <f t="shared" si="13"/>
        <v>18.74927322031343</v>
      </c>
      <c r="BL44" s="31">
        <f t="shared" si="7"/>
        <v>18.508826152611473</v>
      </c>
    </row>
    <row r="45" spans="2:64" ht="15" x14ac:dyDescent="0.4">
      <c r="B45" t="s">
        <v>90</v>
      </c>
      <c r="C45" s="26">
        <v>53991</v>
      </c>
      <c r="D45" t="s">
        <v>84</v>
      </c>
      <c r="E45" t="s">
        <v>84</v>
      </c>
      <c r="F45" t="s">
        <v>85</v>
      </c>
      <c r="G45" t="s">
        <v>33</v>
      </c>
      <c r="H45" t="s">
        <v>76</v>
      </c>
      <c r="J45" s="27">
        <v>3049.6126871557599</v>
      </c>
      <c r="K45" s="27">
        <v>2632.9353607860407</v>
      </c>
      <c r="L45" s="27">
        <v>2955.055629724071</v>
      </c>
      <c r="M45" s="27">
        <v>2212.5748265603352</v>
      </c>
      <c r="N45" s="28">
        <f t="shared" si="8"/>
        <v>10850.178504226205</v>
      </c>
      <c r="O45" s="27">
        <v>1368.5345654145915</v>
      </c>
      <c r="P45" s="27">
        <v>1583.7078681136993</v>
      </c>
      <c r="Q45" s="27">
        <v>1858.5330870135995</v>
      </c>
      <c r="R45" s="27">
        <v>1518.0934420813601</v>
      </c>
      <c r="S45" s="27">
        <v>1421.6473872498984</v>
      </c>
      <c r="T45" s="27">
        <v>1233.1131839481152</v>
      </c>
      <c r="U45" s="27">
        <v>1143.7828080160755</v>
      </c>
      <c r="V45" s="27">
        <v>1786.9874386825577</v>
      </c>
      <c r="W45" s="27">
        <v>2124.2402249117295</v>
      </c>
      <c r="X45" s="27">
        <v>1833.9991916122694</v>
      </c>
      <c r="Y45" s="27">
        <v>2058.375498616595</v>
      </c>
      <c r="Z45" s="27">
        <v>1541.1925806191739</v>
      </c>
      <c r="AA45" s="28">
        <f t="shared" si="9"/>
        <v>19472.207276279667</v>
      </c>
      <c r="AB45" s="29"/>
      <c r="AC45" s="27">
        <v>82844.597098516475</v>
      </c>
      <c r="AD45" s="27">
        <v>71525.302235737981</v>
      </c>
      <c r="AE45" s="27">
        <v>80275.896699694465</v>
      </c>
      <c r="AF45" s="27">
        <v>60105.950774905403</v>
      </c>
      <c r="AG45" s="28">
        <f t="shared" si="10"/>
        <v>294751.74680885428</v>
      </c>
      <c r="AH45" s="27">
        <v>35711.717924240773</v>
      </c>
      <c r="AI45" s="27">
        <v>41326.635139349586</v>
      </c>
      <c r="AJ45" s="27">
        <v>48498.16075795731</v>
      </c>
      <c r="AK45" s="27">
        <v>39614.435876397016</v>
      </c>
      <c r="AL45" s="27">
        <v>38461.368196402036</v>
      </c>
      <c r="AM45" s="27">
        <v>33465.032567661852</v>
      </c>
      <c r="AN45" s="27">
        <v>31040.726365472219</v>
      </c>
      <c r="AO45" s="27">
        <v>48496.434562515125</v>
      </c>
      <c r="AP45" s="27">
        <v>57649.021382289815</v>
      </c>
      <c r="AQ45" s="27">
        <v>49772.270279248369</v>
      </c>
      <c r="AR45" s="27">
        <v>55861.541336484413</v>
      </c>
      <c r="AS45" s="27">
        <v>41825.892849775548</v>
      </c>
      <c r="AT45" s="28">
        <f t="shared" si="11"/>
        <v>521723.23723779409</v>
      </c>
      <c r="AU45" s="30">
        <f t="shared" si="14"/>
        <v>27.165612684993778</v>
      </c>
      <c r="AV45" s="30">
        <f t="shared" si="14"/>
        <v>27.165612684993796</v>
      </c>
      <c r="AW45" s="30">
        <f t="shared" si="14"/>
        <v>27.165612684993768</v>
      </c>
      <c r="AX45" s="30">
        <f t="shared" si="14"/>
        <v>27.165612684993803</v>
      </c>
      <c r="AY45" s="31">
        <f t="shared" si="14"/>
        <v>27.165612684993782</v>
      </c>
      <c r="AZ45" s="30">
        <f t="shared" si="14"/>
        <v>26.094860025272411</v>
      </c>
      <c r="BA45" s="30">
        <f t="shared" si="14"/>
        <v>26.094860025272425</v>
      </c>
      <c r="BB45" s="30">
        <f t="shared" si="14"/>
        <v>26.094860025272411</v>
      </c>
      <c r="BC45" s="30">
        <f t="shared" si="14"/>
        <v>26.094860025272368</v>
      </c>
      <c r="BD45" s="30">
        <f t="shared" si="14"/>
        <v>27.054084255592741</v>
      </c>
      <c r="BE45" s="30">
        <f t="shared" si="14"/>
        <v>27.138654426283335</v>
      </c>
      <c r="BF45" s="30">
        <f t="shared" si="14"/>
        <v>27.13865442628331</v>
      </c>
      <c r="BG45" s="30">
        <f t="shared" si="14"/>
        <v>27.138654426283342</v>
      </c>
      <c r="BH45" s="30">
        <f t="shared" si="14"/>
        <v>27.138654426283335</v>
      </c>
      <c r="BI45" s="30">
        <f t="shared" si="14"/>
        <v>27.138654426283331</v>
      </c>
      <c r="BJ45" s="30">
        <f t="shared" si="14"/>
        <v>27.138654426283331</v>
      </c>
      <c r="BK45" s="30">
        <f t="shared" si="13"/>
        <v>27.138654426283313</v>
      </c>
      <c r="BL45" s="31">
        <f t="shared" si="7"/>
        <v>26.79322533061459</v>
      </c>
    </row>
    <row r="46" spans="2:64" ht="15" x14ac:dyDescent="0.4">
      <c r="B46" t="s">
        <v>91</v>
      </c>
      <c r="C46" s="26">
        <v>54004</v>
      </c>
      <c r="D46" t="s">
        <v>84</v>
      </c>
      <c r="E46" t="s">
        <v>84</v>
      </c>
      <c r="F46" t="s">
        <v>85</v>
      </c>
      <c r="G46" t="s">
        <v>33</v>
      </c>
      <c r="H46" t="s">
        <v>76</v>
      </c>
      <c r="J46" s="27">
        <v>1483.6377657388573</v>
      </c>
      <c r="K46" s="27">
        <v>1280.9240833971908</v>
      </c>
      <c r="L46" s="27">
        <v>1437.6357202943152</v>
      </c>
      <c r="M46" s="27">
        <v>1076.4185189921975</v>
      </c>
      <c r="N46" s="28">
        <f t="shared" si="8"/>
        <v>5278.616088422561</v>
      </c>
      <c r="O46" s="27">
        <v>1036.2955020145853</v>
      </c>
      <c r="P46" s="27">
        <v>1199.2311935023301</v>
      </c>
      <c r="Q46" s="27">
        <v>1407.3371086787315</v>
      </c>
      <c r="R46" s="27">
        <v>1149.5459781756854</v>
      </c>
      <c r="S46" s="27">
        <v>1076.514126927837</v>
      </c>
      <c r="T46" s="27">
        <v>933.75036209859377</v>
      </c>
      <c r="U46" s="27">
        <v>866.10671676355491</v>
      </c>
      <c r="V46" s="27">
        <v>1353.1605935742591</v>
      </c>
      <c r="W46" s="27">
        <v>1608.5385388914815</v>
      </c>
      <c r="X46" s="27">
        <v>1388.7593057544836</v>
      </c>
      <c r="Y46" s="27">
        <v>1558.663788683481</v>
      </c>
      <c r="Z46" s="27">
        <v>1167.037340083594</v>
      </c>
      <c r="AA46" s="28">
        <f t="shared" si="9"/>
        <v>14744.940555148618</v>
      </c>
      <c r="AB46" s="29"/>
      <c r="AC46" s="27">
        <v>69111.402366318638</v>
      </c>
      <c r="AD46" s="27">
        <v>59668.513280453262</v>
      </c>
      <c r="AE46" s="27">
        <v>66968.516854902598</v>
      </c>
      <c r="AF46" s="27">
        <v>50142.154034194878</v>
      </c>
      <c r="AG46" s="28">
        <f t="shared" si="10"/>
        <v>245890.5865358694</v>
      </c>
      <c r="AH46" s="27">
        <v>48289.666327923303</v>
      </c>
      <c r="AI46" s="27">
        <v>55882.201622689019</v>
      </c>
      <c r="AJ46" s="27">
        <v>65579.595064230743</v>
      </c>
      <c r="AK46" s="27">
        <v>53566.952289954781</v>
      </c>
      <c r="AL46" s="27">
        <v>51973.871072727874</v>
      </c>
      <c r="AM46" s="27">
        <v>45251.680688498629</v>
      </c>
      <c r="AN46" s="27">
        <v>41973.514742273212</v>
      </c>
      <c r="AO46" s="27">
        <v>65577.260889154175</v>
      </c>
      <c r="AP46" s="27">
        <v>77953.460894482341</v>
      </c>
      <c r="AQ46" s="27">
        <v>67302.455996849472</v>
      </c>
      <c r="AR46" s="27">
        <v>75536.416294083319</v>
      </c>
      <c r="AS46" s="27">
        <v>56557.301832072888</v>
      </c>
      <c r="AT46" s="28">
        <f t="shared" si="11"/>
        <v>705444.37771493976</v>
      </c>
      <c r="AU46" s="30">
        <f t="shared" si="14"/>
        <v>46.582396297994542</v>
      </c>
      <c r="AV46" s="30">
        <f t="shared" si="14"/>
        <v>46.582396297994471</v>
      </c>
      <c r="AW46" s="30">
        <f t="shared" si="14"/>
        <v>46.582396297994521</v>
      </c>
      <c r="AX46" s="30">
        <f t="shared" si="14"/>
        <v>46.582396297994514</v>
      </c>
      <c r="AY46" s="31">
        <f t="shared" si="14"/>
        <v>46.582396297994514</v>
      </c>
      <c r="AZ46" s="30">
        <f t="shared" si="14"/>
        <v>46.598355617723847</v>
      </c>
      <c r="BA46" s="30">
        <f t="shared" si="14"/>
        <v>46.598355617723882</v>
      </c>
      <c r="BB46" s="30">
        <f t="shared" si="14"/>
        <v>46.598355617723804</v>
      </c>
      <c r="BC46" s="30">
        <f t="shared" si="14"/>
        <v>46.598355617723826</v>
      </c>
      <c r="BD46" s="30">
        <f t="shared" si="14"/>
        <v>48.279785441414731</v>
      </c>
      <c r="BE46" s="30">
        <f t="shared" si="14"/>
        <v>48.462289842432796</v>
      </c>
      <c r="BF46" s="30">
        <f t="shared" si="14"/>
        <v>48.462289842432753</v>
      </c>
      <c r="BG46" s="30">
        <f t="shared" si="14"/>
        <v>48.462289842432817</v>
      </c>
      <c r="BH46" s="30">
        <f t="shared" si="14"/>
        <v>48.462289842432803</v>
      </c>
      <c r="BI46" s="30">
        <f t="shared" si="14"/>
        <v>48.462289842432753</v>
      </c>
      <c r="BJ46" s="30">
        <f t="shared" si="14"/>
        <v>48.462289842432824</v>
      </c>
      <c r="BK46" s="30">
        <f t="shared" si="13"/>
        <v>48.462289842432746</v>
      </c>
      <c r="BL46" s="31">
        <f t="shared" si="7"/>
        <v>47.843148304088189</v>
      </c>
    </row>
    <row r="47" spans="2:64" ht="15" x14ac:dyDescent="0.4">
      <c r="B47" t="s">
        <v>92</v>
      </c>
      <c r="C47" s="26">
        <v>53985</v>
      </c>
      <c r="D47" t="s">
        <v>84</v>
      </c>
      <c r="E47" t="s">
        <v>84</v>
      </c>
      <c r="F47" t="s">
        <v>85</v>
      </c>
      <c r="G47" t="s">
        <v>33</v>
      </c>
      <c r="H47" t="s">
        <v>76</v>
      </c>
      <c r="J47" s="27">
        <v>9049.327906746852</v>
      </c>
      <c r="K47" s="27">
        <v>7812.8922854277052</v>
      </c>
      <c r="L47" s="27">
        <v>8768.7421713187523</v>
      </c>
      <c r="M47" s="27">
        <v>6565.5272251742799</v>
      </c>
      <c r="N47" s="28">
        <f t="shared" si="8"/>
        <v>32196.489588667588</v>
      </c>
      <c r="O47" s="27">
        <v>17314.354888184294</v>
      </c>
      <c r="P47" s="27">
        <v>20036.673359012526</v>
      </c>
      <c r="Q47" s="27">
        <v>23513.692860390085</v>
      </c>
      <c r="R47" s="27">
        <v>19206.536154721834</v>
      </c>
      <c r="S47" s="27">
        <v>17986.32494258388</v>
      </c>
      <c r="T47" s="27">
        <v>15601.037652789191</v>
      </c>
      <c r="U47" s="27">
        <v>14470.852219209217</v>
      </c>
      <c r="V47" s="27">
        <v>22608.51532434913</v>
      </c>
      <c r="W47" s="27">
        <v>26875.352695776299</v>
      </c>
      <c r="X47" s="27">
        <v>23203.296190475106</v>
      </c>
      <c r="Y47" s="27">
        <v>26042.04875555641</v>
      </c>
      <c r="Z47" s="27">
        <v>19498.780641899913</v>
      </c>
      <c r="AA47" s="28">
        <f t="shared" si="9"/>
        <v>246357.46568494788</v>
      </c>
      <c r="AB47" s="29"/>
      <c r="AC47" s="27">
        <v>416779.13612303365</v>
      </c>
      <c r="AD47" s="27">
        <v>359833.40761860635</v>
      </c>
      <c r="AE47" s="27">
        <v>403856.37748004269</v>
      </c>
      <c r="AF47" s="27">
        <v>302384.30890102312</v>
      </c>
      <c r="AG47" s="28">
        <f t="shared" si="10"/>
        <v>1482853.2301227057</v>
      </c>
      <c r="AH47" s="27">
        <v>794172.45300330466</v>
      </c>
      <c r="AI47" s="27">
        <v>919039.38288870663</v>
      </c>
      <c r="AJ47" s="27">
        <v>1078522.8360339203</v>
      </c>
      <c r="AK47" s="27">
        <v>880962.76356800983</v>
      </c>
      <c r="AL47" s="27">
        <v>854569.18778338609</v>
      </c>
      <c r="AM47" s="27">
        <v>744209.7033941698</v>
      </c>
      <c r="AN47" s="27">
        <v>690296.94547228958</v>
      </c>
      <c r="AO47" s="27">
        <v>1078484.4481615811</v>
      </c>
      <c r="AP47" s="27">
        <v>1282023.5873709058</v>
      </c>
      <c r="AQ47" s="27">
        <v>1106857.0283588369</v>
      </c>
      <c r="AR47" s="27">
        <v>1242272.8418121741</v>
      </c>
      <c r="AS47" s="27">
        <v>930142.0893283966</v>
      </c>
      <c r="AT47" s="28">
        <f t="shared" si="11"/>
        <v>11601553.267175684</v>
      </c>
      <c r="AU47" s="30">
        <f t="shared" si="14"/>
        <v>46.056363568425695</v>
      </c>
      <c r="AV47" s="30">
        <f t="shared" si="14"/>
        <v>46.056363568425645</v>
      </c>
      <c r="AW47" s="30">
        <f t="shared" si="14"/>
        <v>46.05636356842566</v>
      </c>
      <c r="AX47" s="30">
        <f t="shared" si="14"/>
        <v>46.056363568425596</v>
      </c>
      <c r="AY47" s="31">
        <f t="shared" si="14"/>
        <v>46.056363568425652</v>
      </c>
      <c r="AZ47" s="30">
        <f t="shared" si="14"/>
        <v>45.867862714611782</v>
      </c>
      <c r="BA47" s="30">
        <f t="shared" si="14"/>
        <v>45.867862714611825</v>
      </c>
      <c r="BB47" s="30">
        <f t="shared" si="14"/>
        <v>45.86786271461181</v>
      </c>
      <c r="BC47" s="30">
        <f t="shared" si="14"/>
        <v>45.867862714611839</v>
      </c>
      <c r="BD47" s="30">
        <f t="shared" si="14"/>
        <v>47.512162184957184</v>
      </c>
      <c r="BE47" s="30">
        <f t="shared" si="14"/>
        <v>47.702577223196315</v>
      </c>
      <c r="BF47" s="30">
        <f t="shared" si="14"/>
        <v>47.702577223196322</v>
      </c>
      <c r="BG47" s="30">
        <f t="shared" si="14"/>
        <v>47.702577223196293</v>
      </c>
      <c r="BH47" s="30">
        <f t="shared" si="14"/>
        <v>47.7025772231963</v>
      </c>
      <c r="BI47" s="30">
        <f t="shared" si="14"/>
        <v>47.702577223196371</v>
      </c>
      <c r="BJ47" s="30">
        <f t="shared" si="14"/>
        <v>47.70257722319635</v>
      </c>
      <c r="BK47" s="30">
        <f t="shared" si="13"/>
        <v>47.702577223196343</v>
      </c>
      <c r="BL47" s="31">
        <f t="shared" si="7"/>
        <v>47.092355147102502</v>
      </c>
    </row>
    <row r="48" spans="2:64" ht="15" x14ac:dyDescent="0.4">
      <c r="B48" t="s">
        <v>93</v>
      </c>
      <c r="C48" s="26">
        <v>53942</v>
      </c>
      <c r="D48" t="s">
        <v>94</v>
      </c>
      <c r="E48" t="s">
        <v>94</v>
      </c>
      <c r="F48" t="s">
        <v>85</v>
      </c>
      <c r="G48" t="s">
        <v>33</v>
      </c>
      <c r="H48" t="s">
        <v>34</v>
      </c>
      <c r="J48" s="27">
        <v>13220.324986698586</v>
      </c>
      <c r="K48" s="27">
        <v>11951.792686532404</v>
      </c>
      <c r="L48" s="27">
        <v>16513.023422048871</v>
      </c>
      <c r="M48" s="27">
        <v>8837.0517872181408</v>
      </c>
      <c r="N48" s="28">
        <f t="shared" si="8"/>
        <v>50522.192882497999</v>
      </c>
      <c r="O48" s="27">
        <v>9362.9792267344801</v>
      </c>
      <c r="P48" s="27">
        <v>13915.959397629984</v>
      </c>
      <c r="Q48" s="27">
        <v>30763.365493529687</v>
      </c>
      <c r="R48" s="27">
        <v>20794.692087905223</v>
      </c>
      <c r="S48" s="27">
        <v>15376.228382375184</v>
      </c>
      <c r="T48" s="27">
        <v>13500.965958882236</v>
      </c>
      <c r="U48" s="27">
        <v>11823.561325101004</v>
      </c>
      <c r="V48" s="27">
        <v>10637.453513381082</v>
      </c>
      <c r="W48" s="27">
        <v>9458.9644963641749</v>
      </c>
      <c r="X48" s="27">
        <v>8551.3467182962613</v>
      </c>
      <c r="Y48" s="27">
        <v>11814.845885705883</v>
      </c>
      <c r="Z48" s="27">
        <v>6322.7915495216657</v>
      </c>
      <c r="AA48" s="28">
        <f t="shared" si="9"/>
        <v>162323.15403542685</v>
      </c>
      <c r="AB48" s="29"/>
      <c r="AC48" s="27">
        <v>149389.32571531422</v>
      </c>
      <c r="AD48" s="27">
        <v>135054.94398410938</v>
      </c>
      <c r="AE48" s="27">
        <v>186596.73170085243</v>
      </c>
      <c r="AF48" s="27">
        <v>99858.45348976586</v>
      </c>
      <c r="AG48" s="28">
        <f t="shared" si="10"/>
        <v>570899.45489004184</v>
      </c>
      <c r="AH48" s="27">
        <v>104504.97674576525</v>
      </c>
      <c r="AI48" s="27">
        <v>155323.10582211392</v>
      </c>
      <c r="AJ48" s="27">
        <v>343365.58029981487</v>
      </c>
      <c r="AK48" s="27">
        <v>232100.14253548777</v>
      </c>
      <c r="AL48" s="27">
        <v>177678.01443715784</v>
      </c>
      <c r="AM48" s="27">
        <v>156718.79894080013</v>
      </c>
      <c r="AN48" s="27">
        <v>137247.53737740227</v>
      </c>
      <c r="AO48" s="27">
        <v>123479.23426241262</v>
      </c>
      <c r="AP48" s="27">
        <v>109799.36988276026</v>
      </c>
      <c r="AQ48" s="27">
        <v>99263.770540511483</v>
      </c>
      <c r="AR48" s="27">
        <v>137146.3688240998</v>
      </c>
      <c r="AS48" s="27">
        <v>73394.770463973138</v>
      </c>
      <c r="AT48" s="28">
        <f t="shared" si="11"/>
        <v>1850021.6701322994</v>
      </c>
      <c r="AU48" s="30">
        <f t="shared" si="14"/>
        <v>11.29997378019223</v>
      </c>
      <c r="AV48" s="30">
        <f t="shared" si="14"/>
        <v>11.299973780192227</v>
      </c>
      <c r="AW48" s="30">
        <f t="shared" si="14"/>
        <v>11.29997378019223</v>
      </c>
      <c r="AX48" s="30">
        <f t="shared" si="14"/>
        <v>11.299973780192229</v>
      </c>
      <c r="AY48" s="31">
        <f t="shared" si="14"/>
        <v>11.299973780192229</v>
      </c>
      <c r="AZ48" s="30">
        <f t="shared" si="14"/>
        <v>11.161508982885287</v>
      </c>
      <c r="BA48" s="30">
        <f t="shared" si="14"/>
        <v>11.161508982885282</v>
      </c>
      <c r="BB48" s="30">
        <f t="shared" si="14"/>
        <v>11.161508982885287</v>
      </c>
      <c r="BC48" s="30">
        <f t="shared" si="14"/>
        <v>11.161508982885287</v>
      </c>
      <c r="BD48" s="30">
        <f t="shared" si="14"/>
        <v>11.555370408052674</v>
      </c>
      <c r="BE48" s="30">
        <f t="shared" si="14"/>
        <v>11.60796934220069</v>
      </c>
      <c r="BF48" s="30">
        <f t="shared" si="14"/>
        <v>11.607969342200695</v>
      </c>
      <c r="BG48" s="30">
        <f t="shared" si="14"/>
        <v>11.60796934220069</v>
      </c>
      <c r="BH48" s="30">
        <f t="shared" si="14"/>
        <v>11.607969342200704</v>
      </c>
      <c r="BI48" s="30">
        <f t="shared" si="14"/>
        <v>11.60796934220069</v>
      </c>
      <c r="BJ48" s="30">
        <f t="shared" si="14"/>
        <v>11.607969342200686</v>
      </c>
      <c r="BK48" s="30">
        <f t="shared" si="13"/>
        <v>11.607969342200697</v>
      </c>
      <c r="BL48" s="31">
        <f t="shared" si="7"/>
        <v>11.397152064507903</v>
      </c>
    </row>
    <row r="49" spans="2:64" ht="15" x14ac:dyDescent="0.4">
      <c r="B49" t="s">
        <v>95</v>
      </c>
      <c r="C49" s="26">
        <v>52731</v>
      </c>
      <c r="D49" t="s">
        <v>96</v>
      </c>
      <c r="E49" t="s">
        <v>96</v>
      </c>
      <c r="F49" t="s">
        <v>32</v>
      </c>
      <c r="G49" t="s">
        <v>33</v>
      </c>
      <c r="H49" t="s">
        <v>34</v>
      </c>
      <c r="J49" s="27">
        <v>3615.142118023678</v>
      </c>
      <c r="K49" s="27">
        <v>2663.9273228132438</v>
      </c>
      <c r="L49" s="27">
        <v>2344.3138926602974</v>
      </c>
      <c r="M49" s="27">
        <v>1491.8361135110981</v>
      </c>
      <c r="N49" s="28">
        <f t="shared" si="8"/>
        <v>10115.219447008316</v>
      </c>
      <c r="O49" s="27">
        <v>1853.3304237702655</v>
      </c>
      <c r="P49" s="27">
        <v>3143.1008699244194</v>
      </c>
      <c r="Q49" s="27">
        <v>7219.6901582692462</v>
      </c>
      <c r="R49" s="27">
        <v>4094.6615651139296</v>
      </c>
      <c r="S49" s="27">
        <v>3108.4316042857317</v>
      </c>
      <c r="T49" s="27">
        <v>1945.4129768318871</v>
      </c>
      <c r="U49" s="27">
        <v>4322.593545589556</v>
      </c>
      <c r="V49" s="27">
        <v>2900.1701291370196</v>
      </c>
      <c r="W49" s="27">
        <v>3380.4992810886238</v>
      </c>
      <c r="X49" s="27">
        <v>2491.0236183371885</v>
      </c>
      <c r="Y49" s="27">
        <v>2192.1548780263756</v>
      </c>
      <c r="Z49" s="27">
        <v>1395.0076496531487</v>
      </c>
      <c r="AA49" s="28">
        <f t="shared" si="9"/>
        <v>38046.076700027392</v>
      </c>
      <c r="AB49" s="29"/>
      <c r="AC49" s="27">
        <v>22799.898455649414</v>
      </c>
      <c r="AD49" s="27">
        <v>16800.797996449375</v>
      </c>
      <c r="AE49" s="27">
        <v>14785.067075051265</v>
      </c>
      <c r="AF49" s="27">
        <v>9408.679047759897</v>
      </c>
      <c r="AG49" s="28">
        <f t="shared" si="10"/>
        <v>63794.442574909954</v>
      </c>
      <c r="AH49" s="27">
        <v>11892.037944719768</v>
      </c>
      <c r="AI49" s="27">
        <v>20167.949724358579</v>
      </c>
      <c r="AJ49" s="27">
        <v>46325.700053311346</v>
      </c>
      <c r="AK49" s="27">
        <v>26273.712490005742</v>
      </c>
      <c r="AL49" s="27">
        <v>20743.099370281016</v>
      </c>
      <c r="AM49" s="27">
        <v>12982.20847593602</v>
      </c>
      <c r="AN49" s="27">
        <v>28845.70589066673</v>
      </c>
      <c r="AO49" s="27">
        <v>19353.532478976915</v>
      </c>
      <c r="AP49" s="27">
        <v>22558.884382129203</v>
      </c>
      <c r="AQ49" s="27">
        <v>16623.199452693098</v>
      </c>
      <c r="AR49" s="27">
        <v>14628.776499899843</v>
      </c>
      <c r="AS49" s="27">
        <v>9309.22140902717</v>
      </c>
      <c r="AT49" s="28">
        <f t="shared" si="11"/>
        <v>249704.02817200543</v>
      </c>
      <c r="AU49" s="30">
        <f t="shared" si="14"/>
        <v>6.3067779111582034</v>
      </c>
      <c r="AV49" s="30">
        <f t="shared" si="14"/>
        <v>6.3067779111582034</v>
      </c>
      <c r="AW49" s="30">
        <f t="shared" si="14"/>
        <v>6.3067779111582025</v>
      </c>
      <c r="AX49" s="30">
        <f t="shared" si="14"/>
        <v>6.3067779111582043</v>
      </c>
      <c r="AY49" s="31">
        <f t="shared" si="14"/>
        <v>6.3067779111582043</v>
      </c>
      <c r="AZ49" s="30">
        <f t="shared" si="14"/>
        <v>6.4165773097964731</v>
      </c>
      <c r="BA49" s="30">
        <f t="shared" si="14"/>
        <v>6.4165773097964713</v>
      </c>
      <c r="BB49" s="30">
        <f t="shared" si="14"/>
        <v>6.4165773097964722</v>
      </c>
      <c r="BC49" s="30">
        <f t="shared" si="14"/>
        <v>6.4165773097964705</v>
      </c>
      <c r="BD49" s="30">
        <f t="shared" si="14"/>
        <v>6.6731722009522709</v>
      </c>
      <c r="BE49" s="30">
        <f t="shared" si="14"/>
        <v>6.6732404021883305</v>
      </c>
      <c r="BF49" s="30">
        <f t="shared" si="14"/>
        <v>6.6732404021883305</v>
      </c>
      <c r="BG49" s="30">
        <f t="shared" si="14"/>
        <v>6.6732404021883331</v>
      </c>
      <c r="BH49" s="30">
        <f t="shared" si="14"/>
        <v>6.6732404021883287</v>
      </c>
      <c r="BI49" s="30">
        <f t="shared" si="14"/>
        <v>6.6732404021883331</v>
      </c>
      <c r="BJ49" s="30">
        <f t="shared" si="14"/>
        <v>6.6732404021883314</v>
      </c>
      <c r="BK49" s="30">
        <f t="shared" si="13"/>
        <v>6.673240402188326</v>
      </c>
      <c r="BL49" s="31">
        <f t="shared" si="7"/>
        <v>6.5632004619237296</v>
      </c>
    </row>
    <row r="50" spans="2:64" ht="15" x14ac:dyDescent="0.4">
      <c r="B50" t="s">
        <v>97</v>
      </c>
      <c r="C50" s="26">
        <v>52723</v>
      </c>
      <c r="D50" t="s">
        <v>96</v>
      </c>
      <c r="E50" t="s">
        <v>96</v>
      </c>
      <c r="F50" t="s">
        <v>32</v>
      </c>
      <c r="G50" t="s">
        <v>33</v>
      </c>
      <c r="H50" t="s">
        <v>34</v>
      </c>
      <c r="J50" s="27">
        <v>1575.7181136635268</v>
      </c>
      <c r="K50" s="27">
        <v>1161.1157733225582</v>
      </c>
      <c r="L50" s="27">
        <v>1021.8070947643141</v>
      </c>
      <c r="M50" s="27">
        <v>650.24087848638158</v>
      </c>
      <c r="N50" s="28">
        <f t="shared" si="8"/>
        <v>4408.881860236781</v>
      </c>
      <c r="O50" s="27">
        <v>1081.126243797326</v>
      </c>
      <c r="P50" s="27">
        <v>1833.5040496797635</v>
      </c>
      <c r="Q50" s="27">
        <v>4211.5514870313727</v>
      </c>
      <c r="R50" s="27">
        <v>2388.5897629130172</v>
      </c>
      <c r="S50" s="27">
        <v>1813.2799965619622</v>
      </c>
      <c r="T50" s="27">
        <v>1134.8419026102076</v>
      </c>
      <c r="U50" s="27">
        <v>2521.5521546874943</v>
      </c>
      <c r="V50" s="27">
        <v>1691.7922448543222</v>
      </c>
      <c r="W50" s="27">
        <v>1971.9886119864057</v>
      </c>
      <c r="X50" s="27">
        <v>1453.119731464107</v>
      </c>
      <c r="Y50" s="27">
        <v>1278.776918948598</v>
      </c>
      <c r="Z50" s="27">
        <v>813.76713024001685</v>
      </c>
      <c r="AA50" s="28">
        <f t="shared" si="9"/>
        <v>22193.89023477459</v>
      </c>
      <c r="AB50" s="29"/>
      <c r="AC50" s="27">
        <v>16859.946963090701</v>
      </c>
      <c r="AD50" s="27">
        <v>12423.764242140733</v>
      </c>
      <c r="AE50" s="27">
        <v>10933.182321666738</v>
      </c>
      <c r="AF50" s="27">
        <v>6957.4796592424682</v>
      </c>
      <c r="AG50" s="28">
        <f t="shared" si="10"/>
        <v>47174.373186140641</v>
      </c>
      <c r="AH50" s="27">
        <v>11646.336020305393</v>
      </c>
      <c r="AI50" s="27">
        <v>19751.258818913946</v>
      </c>
      <c r="AJ50" s="27">
        <v>45368.562705965793</v>
      </c>
      <c r="AK50" s="27">
        <v>25730.870148742379</v>
      </c>
      <c r="AL50" s="27">
        <v>20314.732891203828</v>
      </c>
      <c r="AM50" s="27">
        <v>12713.982489733011</v>
      </c>
      <c r="AN50" s="27">
        <v>28249.723479462369</v>
      </c>
      <c r="AO50" s="27">
        <v>18953.668284428819</v>
      </c>
      <c r="AP50" s="27">
        <v>22092.79426947602</v>
      </c>
      <c r="AQ50" s="27">
        <v>16279.746790127034</v>
      </c>
      <c r="AR50" s="27">
        <v>14326.530698586274</v>
      </c>
      <c r="AS50" s="27">
        <v>9116.8831718276306</v>
      </c>
      <c r="AT50" s="28">
        <f t="shared" si="11"/>
        <v>244545.08976877251</v>
      </c>
      <c r="AU50" s="30">
        <f t="shared" si="14"/>
        <v>10.699849685608751</v>
      </c>
      <c r="AV50" s="30">
        <f t="shared" si="14"/>
        <v>10.699849685608749</v>
      </c>
      <c r="AW50" s="30">
        <f t="shared" si="14"/>
        <v>10.699849685608751</v>
      </c>
      <c r="AX50" s="30">
        <f t="shared" si="14"/>
        <v>10.699849685608751</v>
      </c>
      <c r="AY50" s="31">
        <f t="shared" si="14"/>
        <v>10.699849685608751</v>
      </c>
      <c r="AZ50" s="30">
        <f t="shared" si="14"/>
        <v>10.772410795800347</v>
      </c>
      <c r="BA50" s="30">
        <f t="shared" si="14"/>
        <v>10.772410795800351</v>
      </c>
      <c r="BB50" s="30">
        <f t="shared" si="14"/>
        <v>10.772410795800354</v>
      </c>
      <c r="BC50" s="30">
        <f t="shared" si="14"/>
        <v>10.772410795800347</v>
      </c>
      <c r="BD50" s="30">
        <f t="shared" si="14"/>
        <v>11.203307227632369</v>
      </c>
      <c r="BE50" s="30">
        <f t="shared" si="14"/>
        <v>11.203307227632372</v>
      </c>
      <c r="BF50" s="30">
        <f t="shared" si="14"/>
        <v>11.203307227632365</v>
      </c>
      <c r="BG50" s="30">
        <f t="shared" si="14"/>
        <v>11.203307227632369</v>
      </c>
      <c r="BH50" s="30">
        <f t="shared" si="14"/>
        <v>11.203307227632369</v>
      </c>
      <c r="BI50" s="30">
        <f t="shared" si="14"/>
        <v>11.203307227632367</v>
      </c>
      <c r="BJ50" s="30">
        <f t="shared" si="14"/>
        <v>11.203307227632363</v>
      </c>
      <c r="BK50" s="30">
        <f t="shared" si="13"/>
        <v>11.203307227632367</v>
      </c>
      <c r="BL50" s="31">
        <f t="shared" si="7"/>
        <v>11.01857705800518</v>
      </c>
    </row>
    <row r="51" spans="2:64" ht="15" x14ac:dyDescent="0.4">
      <c r="B51" t="s">
        <v>98</v>
      </c>
      <c r="C51" s="26">
        <v>52661</v>
      </c>
      <c r="D51" t="s">
        <v>96</v>
      </c>
      <c r="E51" t="s">
        <v>96</v>
      </c>
      <c r="F51" t="s">
        <v>32</v>
      </c>
      <c r="G51" t="s">
        <v>33</v>
      </c>
      <c r="H51" t="s">
        <v>34</v>
      </c>
      <c r="J51" s="27">
        <v>17011.763667330746</v>
      </c>
      <c r="K51" s="27">
        <v>12535.634993906811</v>
      </c>
      <c r="L51" s="27">
        <v>11031.631012553175</v>
      </c>
      <c r="M51" s="27">
        <v>7020.1288261702002</v>
      </c>
      <c r="N51" s="28">
        <f t="shared" si="8"/>
        <v>47599.158499960933</v>
      </c>
      <c r="O51" s="27">
        <v>4718.4924113716979</v>
      </c>
      <c r="P51" s="27">
        <v>8002.187528300421</v>
      </c>
      <c r="Q51" s="27">
        <v>18380.992826388258</v>
      </c>
      <c r="R51" s="27">
        <v>10424.816467870365</v>
      </c>
      <c r="S51" s="27">
        <v>7913.9212025951601</v>
      </c>
      <c r="T51" s="27">
        <v>4952.9302764541126</v>
      </c>
      <c r="U51" s="27">
        <v>11005.120609209212</v>
      </c>
      <c r="V51" s="27">
        <v>7383.6972460536208</v>
      </c>
      <c r="W51" s="27">
        <v>8606.5927585729751</v>
      </c>
      <c r="X51" s="27">
        <v>6342.0294022695407</v>
      </c>
      <c r="Y51" s="27">
        <v>5581.1235945053877</v>
      </c>
      <c r="Z51" s="27">
        <v>3551.6241055943378</v>
      </c>
      <c r="AA51" s="28">
        <f t="shared" si="9"/>
        <v>96863.528429185099</v>
      </c>
      <c r="AB51" s="29"/>
      <c r="AC51" s="27">
        <v>98274.464781625284</v>
      </c>
      <c r="AD51" s="27">
        <v>72416.525635716302</v>
      </c>
      <c r="AE51" s="27">
        <v>63728.115122419178</v>
      </c>
      <c r="AF51" s="27">
        <v>40554.255077903108</v>
      </c>
      <c r="AG51" s="28">
        <f t="shared" si="10"/>
        <v>274973.36061766389</v>
      </c>
      <c r="AH51" s="27">
        <v>27545.801252746704</v>
      </c>
      <c r="AI51" s="27">
        <v>46715.486224061184</v>
      </c>
      <c r="AJ51" s="27">
        <v>107305.28547711774</v>
      </c>
      <c r="AK51" s="27">
        <v>60858.405076217692</v>
      </c>
      <c r="AL51" s="27">
        <v>48047.83222921838</v>
      </c>
      <c r="AM51" s="27">
        <v>30070.988350540796</v>
      </c>
      <c r="AN51" s="27">
        <v>66815.972598901324</v>
      </c>
      <c r="AO51" s="27">
        <v>44829.032810241231</v>
      </c>
      <c r="AP51" s="27">
        <v>52253.663212513922</v>
      </c>
      <c r="AQ51" s="27">
        <v>38504.699567660355</v>
      </c>
      <c r="AR51" s="27">
        <v>33884.971769368865</v>
      </c>
      <c r="AS51" s="27">
        <v>21563.163853234735</v>
      </c>
      <c r="AT51" s="28">
        <f t="shared" si="11"/>
        <v>578395.30242182291</v>
      </c>
      <c r="AU51" s="30">
        <f t="shared" si="14"/>
        <v>5.7768534000005403</v>
      </c>
      <c r="AV51" s="30">
        <f t="shared" si="14"/>
        <v>5.7768534000005394</v>
      </c>
      <c r="AW51" s="30">
        <f t="shared" si="14"/>
        <v>5.7768534000005376</v>
      </c>
      <c r="AX51" s="30">
        <f t="shared" si="14"/>
        <v>5.7768534000005385</v>
      </c>
      <c r="AY51" s="31">
        <f t="shared" si="14"/>
        <v>5.7768534000005394</v>
      </c>
      <c r="AZ51" s="30">
        <f t="shared" si="14"/>
        <v>5.8378394731250509</v>
      </c>
      <c r="BA51" s="30">
        <f t="shared" si="14"/>
        <v>5.8378394731250509</v>
      </c>
      <c r="BB51" s="30">
        <f t="shared" si="14"/>
        <v>5.8378394731250491</v>
      </c>
      <c r="BC51" s="30">
        <f t="shared" si="14"/>
        <v>5.8378394731250518</v>
      </c>
      <c r="BD51" s="30">
        <f t="shared" si="14"/>
        <v>6.0713053616786548</v>
      </c>
      <c r="BE51" s="30">
        <f t="shared" si="14"/>
        <v>6.0713530520500543</v>
      </c>
      <c r="BF51" s="30">
        <f t="shared" si="14"/>
        <v>6.071353052050056</v>
      </c>
      <c r="BG51" s="30">
        <f t="shared" si="14"/>
        <v>6.0713530520500543</v>
      </c>
      <c r="BH51" s="30">
        <f t="shared" si="14"/>
        <v>6.0713530520500534</v>
      </c>
      <c r="BI51" s="30">
        <f t="shared" si="14"/>
        <v>6.0713530520500543</v>
      </c>
      <c r="BJ51" s="30">
        <f t="shared" ref="BJ51:BL114" si="15">IFERROR(AR51/Y51,0)</f>
        <v>6.071353052050056</v>
      </c>
      <c r="BK51" s="30">
        <f t="shared" si="13"/>
        <v>6.0713530520500569</v>
      </c>
      <c r="BL51" s="31">
        <f t="shared" si="7"/>
        <v>5.9712392455812262</v>
      </c>
    </row>
    <row r="52" spans="2:64" ht="15" x14ac:dyDescent="0.4">
      <c r="B52" t="s">
        <v>99</v>
      </c>
      <c r="C52" s="26">
        <v>52451</v>
      </c>
      <c r="D52" t="s">
        <v>96</v>
      </c>
      <c r="E52" t="s">
        <v>96</v>
      </c>
      <c r="F52" t="s">
        <v>32</v>
      </c>
      <c r="G52" t="s">
        <v>33</v>
      </c>
      <c r="H52" t="s">
        <v>34</v>
      </c>
      <c r="J52" s="27">
        <v>4721.4080533696233</v>
      </c>
      <c r="K52" s="27">
        <v>3479.1129933220091</v>
      </c>
      <c r="L52" s="27">
        <v>3061.6949848941254</v>
      </c>
      <c r="M52" s="27">
        <v>1948.3513540235335</v>
      </c>
      <c r="N52" s="28">
        <f t="shared" si="8"/>
        <v>13210.567385609291</v>
      </c>
      <c r="O52" s="27">
        <v>840.17217638686748</v>
      </c>
      <c r="P52" s="27">
        <v>1424.8651317749025</v>
      </c>
      <c r="Q52" s="27">
        <v>3272.9095229398868</v>
      </c>
      <c r="R52" s="27">
        <v>1856.2371148750251</v>
      </c>
      <c r="S52" s="27">
        <v>1409.1484781270685</v>
      </c>
      <c r="T52" s="27">
        <v>881.9160543380292</v>
      </c>
      <c r="U52" s="27">
        <v>1959.5657526873802</v>
      </c>
      <c r="V52" s="27">
        <v>1314.7370906113567</v>
      </c>
      <c r="W52" s="27">
        <v>1532.485196292517</v>
      </c>
      <c r="X52" s="27">
        <v>1129.2582844411743</v>
      </c>
      <c r="Y52" s="27">
        <v>993.77181274654947</v>
      </c>
      <c r="Z52" s="27">
        <v>632.40024447507699</v>
      </c>
      <c r="AA52" s="28">
        <f t="shared" si="9"/>
        <v>17247.466859695836</v>
      </c>
      <c r="AB52" s="29"/>
      <c r="AC52" s="27">
        <v>44754.13450990188</v>
      </c>
      <c r="AD52" s="27">
        <v>32978.443955327195</v>
      </c>
      <c r="AE52" s="27">
        <v>29021.746824964914</v>
      </c>
      <c r="AF52" s="27">
        <v>18468.384343159491</v>
      </c>
      <c r="AG52" s="28">
        <f t="shared" si="10"/>
        <v>125222.70963335347</v>
      </c>
      <c r="AH52" s="27">
        <v>8082.494452896156</v>
      </c>
      <c r="AI52" s="27">
        <v>13707.26720946887</v>
      </c>
      <c r="AJ52" s="27">
        <v>31485.538092625335</v>
      </c>
      <c r="AK52" s="27">
        <v>17857.085256925999</v>
      </c>
      <c r="AL52" s="27">
        <v>14098.315179894362</v>
      </c>
      <c r="AM52" s="27">
        <v>8823.4353506821863</v>
      </c>
      <c r="AN52" s="27">
        <v>19605.155898002125</v>
      </c>
      <c r="AO52" s="27">
        <v>13153.743675593574</v>
      </c>
      <c r="AP52" s="27">
        <v>15332.28019702402</v>
      </c>
      <c r="AQ52" s="27">
        <v>11298.056564428869</v>
      </c>
      <c r="AR52" s="27">
        <v>9942.5351199452798</v>
      </c>
      <c r="AS52" s="27">
        <v>6327.067803601537</v>
      </c>
      <c r="AT52" s="28">
        <f t="shared" si="11"/>
        <v>169712.9748010883</v>
      </c>
      <c r="AU52" s="30">
        <f t="shared" ref="AU52:BI115" si="16">IFERROR(AC52/J52,0)</f>
        <v>9.4789804236389372</v>
      </c>
      <c r="AV52" s="30">
        <f t="shared" si="16"/>
        <v>9.478980423638939</v>
      </c>
      <c r="AW52" s="30">
        <f t="shared" si="16"/>
        <v>9.4789804236389337</v>
      </c>
      <c r="AX52" s="30">
        <f t="shared" si="16"/>
        <v>9.4789804236389372</v>
      </c>
      <c r="AY52" s="31">
        <f t="shared" si="16"/>
        <v>9.4789804236389372</v>
      </c>
      <c r="AZ52" s="30">
        <f t="shared" si="16"/>
        <v>9.6200453669563952</v>
      </c>
      <c r="BA52" s="30">
        <f t="shared" si="16"/>
        <v>9.6200453669563988</v>
      </c>
      <c r="BB52" s="30">
        <f t="shared" si="16"/>
        <v>9.6200453669563988</v>
      </c>
      <c r="BC52" s="30">
        <f t="shared" si="16"/>
        <v>9.6200453669563988</v>
      </c>
      <c r="BD52" s="30">
        <f t="shared" si="16"/>
        <v>10.004847181634652</v>
      </c>
      <c r="BE52" s="30">
        <f t="shared" si="16"/>
        <v>10.004847181634654</v>
      </c>
      <c r="BF52" s="30">
        <f t="shared" si="16"/>
        <v>10.004847181634654</v>
      </c>
      <c r="BG52" s="30">
        <f t="shared" si="16"/>
        <v>10.004847181634652</v>
      </c>
      <c r="BH52" s="30">
        <f t="shared" si="16"/>
        <v>10.004847181634656</v>
      </c>
      <c r="BI52" s="30">
        <f t="shared" si="16"/>
        <v>10.004847181634656</v>
      </c>
      <c r="BJ52" s="30">
        <f t="shared" si="15"/>
        <v>10.004847181634657</v>
      </c>
      <c r="BK52" s="30">
        <f t="shared" si="13"/>
        <v>10.004847181634648</v>
      </c>
      <c r="BL52" s="31">
        <f t="shared" si="7"/>
        <v>9.8398782952687611</v>
      </c>
    </row>
    <row r="53" spans="2:64" ht="15" x14ac:dyDescent="0.4">
      <c r="B53" t="s">
        <v>100</v>
      </c>
      <c r="C53" s="26">
        <v>52461</v>
      </c>
      <c r="D53" t="s">
        <v>96</v>
      </c>
      <c r="E53" t="s">
        <v>96</v>
      </c>
      <c r="F53" t="s">
        <v>32</v>
      </c>
      <c r="G53" t="s">
        <v>33</v>
      </c>
      <c r="H53" t="s">
        <v>34</v>
      </c>
      <c r="J53" s="27">
        <v>2349.3878372502686</v>
      </c>
      <c r="K53" s="27">
        <v>1731.2178186116644</v>
      </c>
      <c r="L53" s="27">
        <v>1523.5092746848586</v>
      </c>
      <c r="M53" s="27">
        <v>969.50590207218227</v>
      </c>
      <c r="N53" s="28">
        <f t="shared" si="8"/>
        <v>6573.6208326189735</v>
      </c>
      <c r="O53" s="27">
        <v>611.12709455702873</v>
      </c>
      <c r="P53" s="27">
        <v>1036.4229054358209</v>
      </c>
      <c r="Q53" s="27">
        <v>2380.6592787967843</v>
      </c>
      <c r="R53" s="27">
        <v>1350.195622641221</v>
      </c>
      <c r="S53" s="27">
        <v>1024.9908762043062</v>
      </c>
      <c r="T53" s="27">
        <v>641.49088850881753</v>
      </c>
      <c r="U53" s="27">
        <v>1425.3551339718167</v>
      </c>
      <c r="V53" s="27">
        <v>956.31762259371862</v>
      </c>
      <c r="W53" s="27">
        <v>1114.703928294171</v>
      </c>
      <c r="X53" s="27">
        <v>821.40346201754699</v>
      </c>
      <c r="Y53" s="27">
        <v>722.85288378417135</v>
      </c>
      <c r="Z53" s="27">
        <v>459.99728968083627</v>
      </c>
      <c r="AA53" s="28">
        <f t="shared" si="9"/>
        <v>12545.516986486238</v>
      </c>
      <c r="AB53" s="29"/>
      <c r="AC53" s="27">
        <v>25015.501413312257</v>
      </c>
      <c r="AD53" s="27">
        <v>18433.432361222425</v>
      </c>
      <c r="AE53" s="27">
        <v>16221.820769566531</v>
      </c>
      <c r="AF53" s="27">
        <v>10322.97685336052</v>
      </c>
      <c r="AG53" s="28">
        <f t="shared" si="10"/>
        <v>69993.731397461743</v>
      </c>
      <c r="AH53" s="27">
        <v>6654.5557175963331</v>
      </c>
      <c r="AI53" s="27">
        <v>11285.596781165359</v>
      </c>
      <c r="AJ53" s="27">
        <v>25922.970780487209</v>
      </c>
      <c r="AK53" s="27">
        <v>14702.264194379</v>
      </c>
      <c r="AL53" s="27">
        <v>11607.558091824467</v>
      </c>
      <c r="AM53" s="27">
        <v>7264.5941799173561</v>
      </c>
      <c r="AN53" s="27">
        <v>16141.502234952874</v>
      </c>
      <c r="AO53" s="27">
        <v>10829.864554110873</v>
      </c>
      <c r="AP53" s="27">
        <v>12623.517831470392</v>
      </c>
      <c r="AQ53" s="27">
        <v>9302.0227043405866</v>
      </c>
      <c r="AR53" s="27">
        <v>8185.9819781412007</v>
      </c>
      <c r="AS53" s="27">
        <v>5209.2612588171296</v>
      </c>
      <c r="AT53" s="28">
        <f t="shared" si="11"/>
        <v>139729.69030720278</v>
      </c>
      <c r="AU53" s="30">
        <f t="shared" si="16"/>
        <v>10.647667880408576</v>
      </c>
      <c r="AV53" s="30">
        <f t="shared" si="16"/>
        <v>10.64766788040858</v>
      </c>
      <c r="AW53" s="30">
        <f t="shared" si="16"/>
        <v>10.647667880408573</v>
      </c>
      <c r="AX53" s="30">
        <f t="shared" si="16"/>
        <v>10.647667880408578</v>
      </c>
      <c r="AY53" s="31">
        <f t="shared" si="16"/>
        <v>10.647667880408578</v>
      </c>
      <c r="AZ53" s="30">
        <f t="shared" si="16"/>
        <v>10.888988193887627</v>
      </c>
      <c r="BA53" s="30">
        <f t="shared" si="16"/>
        <v>10.88898819388762</v>
      </c>
      <c r="BB53" s="30">
        <f t="shared" si="16"/>
        <v>10.888988193887624</v>
      </c>
      <c r="BC53" s="30">
        <f t="shared" si="16"/>
        <v>10.88898819388762</v>
      </c>
      <c r="BD53" s="30">
        <f t="shared" si="16"/>
        <v>11.324547721643125</v>
      </c>
      <c r="BE53" s="30">
        <f t="shared" si="16"/>
        <v>11.324547721643128</v>
      </c>
      <c r="BF53" s="30">
        <f t="shared" si="16"/>
        <v>11.324547721643128</v>
      </c>
      <c r="BG53" s="30">
        <f t="shared" si="16"/>
        <v>11.324547721643132</v>
      </c>
      <c r="BH53" s="30">
        <f t="shared" si="16"/>
        <v>11.324547721643121</v>
      </c>
      <c r="BI53" s="30">
        <f t="shared" si="16"/>
        <v>11.324547721643125</v>
      </c>
      <c r="BJ53" s="30">
        <f t="shared" si="15"/>
        <v>11.324547721643125</v>
      </c>
      <c r="BK53" s="30">
        <f t="shared" si="13"/>
        <v>11.32454772164313</v>
      </c>
      <c r="BL53" s="31">
        <f t="shared" si="7"/>
        <v>11.137818430098704</v>
      </c>
    </row>
    <row r="54" spans="2:64" ht="15" x14ac:dyDescent="0.4">
      <c r="B54" t="s">
        <v>101</v>
      </c>
      <c r="C54" s="26">
        <v>53732</v>
      </c>
      <c r="D54" t="s">
        <v>102</v>
      </c>
      <c r="E54" t="s">
        <v>102</v>
      </c>
      <c r="F54" t="s">
        <v>53</v>
      </c>
      <c r="G54" t="s">
        <v>33</v>
      </c>
      <c r="H54" t="s">
        <v>76</v>
      </c>
      <c r="J54" s="27">
        <v>1904.6281805291515</v>
      </c>
      <c r="K54" s="27">
        <v>2102.0755306968422</v>
      </c>
      <c r="L54" s="27">
        <v>1957.6837610163882</v>
      </c>
      <c r="M54" s="27">
        <v>1851.5726000419152</v>
      </c>
      <c r="N54" s="28">
        <f t="shared" si="8"/>
        <v>7815.960072284297</v>
      </c>
      <c r="O54" s="27">
        <v>1761.881679286211</v>
      </c>
      <c r="P54" s="27">
        <v>1532.1528960233848</v>
      </c>
      <c r="Q54" s="27">
        <v>2037.4306843473605</v>
      </c>
      <c r="R54" s="27">
        <v>3971.6089510806923</v>
      </c>
      <c r="S54" s="27">
        <v>1107.8450886854869</v>
      </c>
      <c r="T54" s="27">
        <v>611.04090302284499</v>
      </c>
      <c r="U54" s="27">
        <v>852.69549743865969</v>
      </c>
      <c r="V54" s="27">
        <v>905.42013622029197</v>
      </c>
      <c r="W54" s="27">
        <v>890.04211657564906</v>
      </c>
      <c r="X54" s="27">
        <v>982.31023444350569</v>
      </c>
      <c r="Y54" s="27">
        <v>914.83525028844076</v>
      </c>
      <c r="Z54" s="27">
        <v>865.24898286285782</v>
      </c>
      <c r="AA54" s="28">
        <f t="shared" si="9"/>
        <v>16432.512420275383</v>
      </c>
      <c r="AB54" s="29"/>
      <c r="AC54" s="27">
        <v>23347.64454352227</v>
      </c>
      <c r="AD54" s="27">
        <v>25768.02800466316</v>
      </c>
      <c r="AE54" s="27">
        <v>23998.019691243804</v>
      </c>
      <c r="AF54" s="27">
        <v>22697.269395800751</v>
      </c>
      <c r="AG54" s="28">
        <f t="shared" si="10"/>
        <v>95810.961635229993</v>
      </c>
      <c r="AH54" s="27">
        <v>21656.854164987431</v>
      </c>
      <c r="AI54" s="27">
        <v>18833.053443795616</v>
      </c>
      <c r="AJ54" s="27">
        <v>25043.871969914209</v>
      </c>
      <c r="AK54" s="27">
        <v>48818.576675795506</v>
      </c>
      <c r="AL54" s="27">
        <v>14162.209300053764</v>
      </c>
      <c r="AM54" s="27">
        <v>7811.280880227956</v>
      </c>
      <c r="AN54" s="27">
        <v>10900.488008001721</v>
      </c>
      <c r="AO54" s="27">
        <v>11574.496835879638</v>
      </c>
      <c r="AP54" s="27">
        <v>11377.910927748577</v>
      </c>
      <c r="AQ54" s="27">
        <v>12557.42637653493</v>
      </c>
      <c r="AR54" s="27">
        <v>11694.855555143555</v>
      </c>
      <c r="AS54" s="27">
        <v>11060.96630035361</v>
      </c>
      <c r="AT54" s="28">
        <f t="shared" si="11"/>
        <v>205491.99043843651</v>
      </c>
      <c r="AU54" s="30">
        <f t="shared" si="16"/>
        <v>12.25837398721872</v>
      </c>
      <c r="AV54" s="30">
        <f t="shared" si="16"/>
        <v>12.258373987218722</v>
      </c>
      <c r="AW54" s="30">
        <f t="shared" si="16"/>
        <v>12.258373987218722</v>
      </c>
      <c r="AX54" s="30">
        <f t="shared" si="16"/>
        <v>12.258373987218723</v>
      </c>
      <c r="AY54" s="31">
        <f t="shared" si="16"/>
        <v>12.258373987218723</v>
      </c>
      <c r="AZ54" s="30">
        <f t="shared" si="16"/>
        <v>12.291889074958341</v>
      </c>
      <c r="BA54" s="30">
        <f t="shared" si="16"/>
        <v>12.291889074958334</v>
      </c>
      <c r="BB54" s="30">
        <f t="shared" si="16"/>
        <v>12.291889074958338</v>
      </c>
      <c r="BC54" s="30">
        <f t="shared" si="16"/>
        <v>12.291889074958338</v>
      </c>
      <c r="BD54" s="30">
        <f t="shared" si="16"/>
        <v>12.783564637956673</v>
      </c>
      <c r="BE54" s="30">
        <f t="shared" si="16"/>
        <v>12.783564637956676</v>
      </c>
      <c r="BF54" s="30">
        <f t="shared" si="16"/>
        <v>12.783564637956669</v>
      </c>
      <c r="BG54" s="30">
        <f t="shared" si="16"/>
        <v>12.783564637956673</v>
      </c>
      <c r="BH54" s="30">
        <f t="shared" si="16"/>
        <v>12.783564637956671</v>
      </c>
      <c r="BI54" s="30">
        <f t="shared" si="16"/>
        <v>12.783564637956674</v>
      </c>
      <c r="BJ54" s="30">
        <f t="shared" si="15"/>
        <v>12.783564637956674</v>
      </c>
      <c r="BK54" s="30">
        <f t="shared" si="13"/>
        <v>12.783564637956674</v>
      </c>
      <c r="BL54" s="31">
        <f t="shared" si="7"/>
        <v>12.505208283602975</v>
      </c>
    </row>
    <row r="55" spans="2:64" ht="15" x14ac:dyDescent="0.4">
      <c r="B55" t="s">
        <v>103</v>
      </c>
      <c r="C55" s="26">
        <v>53731</v>
      </c>
      <c r="D55" t="s">
        <v>102</v>
      </c>
      <c r="E55" t="s">
        <v>102</v>
      </c>
      <c r="F55" t="s">
        <v>53</v>
      </c>
      <c r="G55" t="s">
        <v>33</v>
      </c>
      <c r="H55" t="s">
        <v>76</v>
      </c>
      <c r="J55" s="27">
        <v>1691.0434642554676</v>
      </c>
      <c r="K55" s="27">
        <v>1866.3490984201737</v>
      </c>
      <c r="L55" s="27">
        <v>1738.1493999663912</v>
      </c>
      <c r="M55" s="27">
        <v>1643.9375285445424</v>
      </c>
      <c r="N55" s="28">
        <f t="shared" si="8"/>
        <v>6939.4794911865747</v>
      </c>
      <c r="O55" s="27">
        <v>1559.9715319003569</v>
      </c>
      <c r="P55" s="27">
        <v>1356.5694725218275</v>
      </c>
      <c r="Q55" s="27">
        <v>1803.9428544882644</v>
      </c>
      <c r="R55" s="27">
        <v>3516.4659309225181</v>
      </c>
      <c r="S55" s="27">
        <v>980.8869803363483</v>
      </c>
      <c r="T55" s="27">
        <v>541.01613334698857</v>
      </c>
      <c r="U55" s="27">
        <v>754.97731602658894</v>
      </c>
      <c r="V55" s="27">
        <v>801.65975588395622</v>
      </c>
      <c r="W55" s="27">
        <v>788.04404425889072</v>
      </c>
      <c r="X55" s="27">
        <v>869.73831400928361</v>
      </c>
      <c r="Y55" s="27">
        <v>809.99590585848591</v>
      </c>
      <c r="Z55" s="27">
        <v>766.09218265929519</v>
      </c>
      <c r="AA55" s="28">
        <f t="shared" si="9"/>
        <v>14549.360422212807</v>
      </c>
      <c r="AB55" s="29"/>
      <c r="AC55" s="27">
        <v>36558.404051403908</v>
      </c>
      <c r="AD55" s="27">
        <v>40348.309125844258</v>
      </c>
      <c r="AE55" s="27">
        <v>37576.779904739946</v>
      </c>
      <c r="AF55" s="27">
        <v>35540.028198067936</v>
      </c>
      <c r="AG55" s="28">
        <f t="shared" si="10"/>
        <v>150023.52128005604</v>
      </c>
      <c r="AH55" s="27">
        <v>33847.171646872674</v>
      </c>
      <c r="AI55" s="27">
        <v>29433.895970793088</v>
      </c>
      <c r="AJ55" s="27">
        <v>39140.690832115673</v>
      </c>
      <c r="AK55" s="27">
        <v>76297.819236048075</v>
      </c>
      <c r="AL55" s="27">
        <v>22133.903909868008</v>
      </c>
      <c r="AM55" s="27">
        <v>12208.133402978188</v>
      </c>
      <c r="AN55" s="27">
        <v>17036.208760088208</v>
      </c>
      <c r="AO55" s="27">
        <v>18089.607019821295</v>
      </c>
      <c r="AP55" s="27">
        <v>17782.365860732487</v>
      </c>
      <c r="AQ55" s="27">
        <v>19625.812815265388</v>
      </c>
      <c r="AR55" s="27">
        <v>18277.713851916495</v>
      </c>
      <c r="AS55" s="27">
        <v>17287.017869548465</v>
      </c>
      <c r="AT55" s="28">
        <f t="shared" si="11"/>
        <v>321160.34117604804</v>
      </c>
      <c r="AU55" s="30">
        <f t="shared" si="16"/>
        <v>21.61884352718269</v>
      </c>
      <c r="AV55" s="30">
        <f t="shared" si="16"/>
        <v>21.618843527182708</v>
      </c>
      <c r="AW55" s="30">
        <f t="shared" si="16"/>
        <v>21.618843527182719</v>
      </c>
      <c r="AX55" s="30">
        <f t="shared" si="16"/>
        <v>21.618843527182719</v>
      </c>
      <c r="AY55" s="31">
        <f t="shared" si="16"/>
        <v>21.618843527182708</v>
      </c>
      <c r="AZ55" s="30">
        <f t="shared" si="16"/>
        <v>21.697300851150828</v>
      </c>
      <c r="BA55" s="30">
        <f t="shared" si="16"/>
        <v>21.697300851150835</v>
      </c>
      <c r="BB55" s="30">
        <f t="shared" si="16"/>
        <v>21.697300851150828</v>
      </c>
      <c r="BC55" s="30">
        <f t="shared" si="16"/>
        <v>21.697300851150839</v>
      </c>
      <c r="BD55" s="30">
        <f t="shared" si="16"/>
        <v>22.565192885196868</v>
      </c>
      <c r="BE55" s="30">
        <f t="shared" si="16"/>
        <v>22.565192885196872</v>
      </c>
      <c r="BF55" s="30">
        <f t="shared" si="16"/>
        <v>22.565192885196861</v>
      </c>
      <c r="BG55" s="30">
        <f t="shared" si="16"/>
        <v>22.565192885196854</v>
      </c>
      <c r="BH55" s="30">
        <f t="shared" si="16"/>
        <v>22.565192885196868</v>
      </c>
      <c r="BI55" s="30">
        <f t="shared" si="16"/>
        <v>22.565192885196847</v>
      </c>
      <c r="BJ55" s="30">
        <f t="shared" si="15"/>
        <v>22.565192885196865</v>
      </c>
      <c r="BK55" s="30">
        <f t="shared" si="13"/>
        <v>22.565192885196865</v>
      </c>
      <c r="BL55" s="31">
        <f t="shared" si="7"/>
        <v>22.073845987465262</v>
      </c>
    </row>
    <row r="56" spans="2:64" ht="15" x14ac:dyDescent="0.4">
      <c r="B56" t="s">
        <v>104</v>
      </c>
      <c r="C56" s="26">
        <v>53541</v>
      </c>
      <c r="D56" t="s">
        <v>105</v>
      </c>
      <c r="E56" t="s">
        <v>105</v>
      </c>
      <c r="F56" t="s">
        <v>32</v>
      </c>
      <c r="G56" t="s">
        <v>33</v>
      </c>
      <c r="H56" t="s">
        <v>34</v>
      </c>
      <c r="J56" s="27">
        <v>10514.615264370834</v>
      </c>
      <c r="K56" s="27">
        <v>5976.3652801897615</v>
      </c>
      <c r="L56" s="27">
        <v>11010.261997048727</v>
      </c>
      <c r="M56" s="27">
        <v>6951.3837782038845</v>
      </c>
      <c r="N56" s="28">
        <f t="shared" si="8"/>
        <v>34452.626319813207</v>
      </c>
      <c r="O56" s="27">
        <v>6317.2014148180888</v>
      </c>
      <c r="P56" s="27">
        <v>5215.5760085097045</v>
      </c>
      <c r="Q56" s="27">
        <v>12968.306543369186</v>
      </c>
      <c r="R56" s="27">
        <v>9310.2629349187264</v>
      </c>
      <c r="S56" s="27">
        <v>7276.7893182846619</v>
      </c>
      <c r="T56" s="27">
        <v>7465.8301900596598</v>
      </c>
      <c r="U56" s="27">
        <v>8350.4181824415864</v>
      </c>
      <c r="V56" s="27">
        <v>7701.8744307678489</v>
      </c>
      <c r="W56" s="27">
        <v>5476.0209052214559</v>
      </c>
      <c r="X56" s="27">
        <v>3112.4963100128316</v>
      </c>
      <c r="Y56" s="27">
        <v>5734.1541608381312</v>
      </c>
      <c r="Z56" s="27">
        <v>3620.2868038975803</v>
      </c>
      <c r="AA56" s="28">
        <f t="shared" si="9"/>
        <v>82549.217203139473</v>
      </c>
      <c r="AB56" s="29"/>
      <c r="AC56" s="27">
        <v>112182.50923220807</v>
      </c>
      <c r="AD56" s="27">
        <v>63763.022836580567</v>
      </c>
      <c r="AE56" s="27">
        <v>117470.66222368887</v>
      </c>
      <c r="AF56" s="27">
        <v>74165.687975045643</v>
      </c>
      <c r="AG56" s="28">
        <f t="shared" si="10"/>
        <v>367581.88226752315</v>
      </c>
      <c r="AH56" s="27">
        <v>67519.787753847442</v>
      </c>
      <c r="AI56" s="27">
        <v>55745.347027022784</v>
      </c>
      <c r="AJ56" s="27">
        <v>138608.41974758101</v>
      </c>
      <c r="AK56" s="27">
        <v>99510.358467227474</v>
      </c>
      <c r="AL56" s="27">
        <v>80872.445392636524</v>
      </c>
      <c r="AM56" s="27">
        <v>82988.476416618272</v>
      </c>
      <c r="AN56" s="27">
        <v>92821.35606635279</v>
      </c>
      <c r="AO56" s="27">
        <v>85612.290701782636</v>
      </c>
      <c r="AP56" s="27">
        <v>60870.207355499413</v>
      </c>
      <c r="AQ56" s="27">
        <v>34597.803599153005</v>
      </c>
      <c r="AR56" s="27">
        <v>63739.558124367919</v>
      </c>
      <c r="AS56" s="27">
        <v>40242.287648957041</v>
      </c>
      <c r="AT56" s="28">
        <f t="shared" si="11"/>
        <v>903128.3383010464</v>
      </c>
      <c r="AU56" s="30">
        <f t="shared" si="16"/>
        <v>10.669197722558874</v>
      </c>
      <c r="AV56" s="30">
        <f t="shared" si="16"/>
        <v>10.669197722558881</v>
      </c>
      <c r="AW56" s="30">
        <f t="shared" si="16"/>
        <v>10.669197722558881</v>
      </c>
      <c r="AX56" s="30">
        <f t="shared" si="16"/>
        <v>10.669197722558883</v>
      </c>
      <c r="AY56" s="31">
        <f t="shared" si="16"/>
        <v>10.669197722558879</v>
      </c>
      <c r="AZ56" s="30">
        <f t="shared" si="16"/>
        <v>10.688243625645384</v>
      </c>
      <c r="BA56" s="30">
        <f t="shared" si="16"/>
        <v>10.688243625645372</v>
      </c>
      <c r="BB56" s="30">
        <f t="shared" si="16"/>
        <v>10.688243625645383</v>
      </c>
      <c r="BC56" s="30">
        <f t="shared" si="16"/>
        <v>10.688243625645374</v>
      </c>
      <c r="BD56" s="30">
        <f t="shared" si="16"/>
        <v>11.113753862493352</v>
      </c>
      <c r="BE56" s="30">
        <f t="shared" si="16"/>
        <v>11.115773370671199</v>
      </c>
      <c r="BF56" s="30">
        <f t="shared" si="16"/>
        <v>11.115773370671199</v>
      </c>
      <c r="BG56" s="30">
        <f t="shared" si="16"/>
        <v>11.115773370671196</v>
      </c>
      <c r="BH56" s="30">
        <f t="shared" si="16"/>
        <v>11.115773370671192</v>
      </c>
      <c r="BI56" s="30">
        <f t="shared" si="16"/>
        <v>11.115773370671199</v>
      </c>
      <c r="BJ56" s="30">
        <f t="shared" si="15"/>
        <v>11.115773370671192</v>
      </c>
      <c r="BK56" s="30">
        <f t="shared" si="13"/>
        <v>11.115773370671192</v>
      </c>
      <c r="BL56" s="31">
        <f t="shared" si="7"/>
        <v>10.940483373435297</v>
      </c>
    </row>
    <row r="57" spans="2:64" ht="15" x14ac:dyDescent="0.4">
      <c r="B57" t="s">
        <v>106</v>
      </c>
      <c r="C57" s="26">
        <v>50022</v>
      </c>
      <c r="D57" t="s">
        <v>105</v>
      </c>
      <c r="E57" t="s">
        <v>105</v>
      </c>
      <c r="F57" t="s">
        <v>32</v>
      </c>
      <c r="G57" t="s">
        <v>33</v>
      </c>
      <c r="H57" t="s">
        <v>34</v>
      </c>
      <c r="J57" s="27">
        <v>10635.884256595202</v>
      </c>
      <c r="K57" s="27">
        <v>6045.2929372148437</v>
      </c>
      <c r="L57" s="27">
        <v>11137.247468503172</v>
      </c>
      <c r="M57" s="27">
        <v>7031.556688400985</v>
      </c>
      <c r="N57" s="28">
        <f t="shared" si="8"/>
        <v>34849.981350714203</v>
      </c>
      <c r="O57" s="27">
        <v>8577.9261842857868</v>
      </c>
      <c r="P57" s="27">
        <v>7082.0642040295679</v>
      </c>
      <c r="Q57" s="27">
        <v>17609.249564732236</v>
      </c>
      <c r="R57" s="27">
        <v>12642.108897255193</v>
      </c>
      <c r="S57" s="27">
        <v>9880.9199726367442</v>
      </c>
      <c r="T57" s="27">
        <v>10137.612539078469</v>
      </c>
      <c r="U57" s="27">
        <v>11338.766341830273</v>
      </c>
      <c r="V57" s="27">
        <v>10458.129480056668</v>
      </c>
      <c r="W57" s="27">
        <v>7435.714017034883</v>
      </c>
      <c r="X57" s="27">
        <v>4226.3594023653268</v>
      </c>
      <c r="Y57" s="27">
        <v>7786.224926374477</v>
      </c>
      <c r="Z57" s="27">
        <v>4915.8719076035059</v>
      </c>
      <c r="AA57" s="28">
        <f t="shared" si="9"/>
        <v>112090.94743728313</v>
      </c>
      <c r="AB57" s="29"/>
      <c r="AC57" s="27">
        <v>182980.36153777345</v>
      </c>
      <c r="AD57" s="27">
        <v>104003.5657183273</v>
      </c>
      <c r="AE57" s="27">
        <v>191605.84293296386</v>
      </c>
      <c r="AF57" s="27">
        <v>120971.30374647825</v>
      </c>
      <c r="AG57" s="28">
        <f t="shared" si="10"/>
        <v>599561.07393554284</v>
      </c>
      <c r="AH57" s="27">
        <v>149451.34416573925</v>
      </c>
      <c r="AI57" s="27">
        <v>123389.26589264086</v>
      </c>
      <c r="AJ57" s="27">
        <v>306802.1291696757</v>
      </c>
      <c r="AK57" s="27">
        <v>220260.71654074872</v>
      </c>
      <c r="AL57" s="27">
        <v>175802.72577667746</v>
      </c>
      <c r="AM57" s="27">
        <v>183690.43747510336</v>
      </c>
      <c r="AN57" s="27">
        <v>205454.97687250466</v>
      </c>
      <c r="AO57" s="27">
        <v>189498.10637934596</v>
      </c>
      <c r="AP57" s="27">
        <v>134732.86293629205</v>
      </c>
      <c r="AQ57" s="27">
        <v>76580.339261819376</v>
      </c>
      <c r="AR57" s="27">
        <v>141084.01337020274</v>
      </c>
      <c r="AS57" s="27">
        <v>89074.094891512024</v>
      </c>
      <c r="AT57" s="28">
        <f t="shared" si="11"/>
        <v>1995821.0127322625</v>
      </c>
      <c r="AU57" s="30">
        <f t="shared" si="16"/>
        <v>17.204057238993478</v>
      </c>
      <c r="AV57" s="30">
        <f t="shared" si="16"/>
        <v>17.204057238993499</v>
      </c>
      <c r="AW57" s="30">
        <f t="shared" si="16"/>
        <v>17.204057238993485</v>
      </c>
      <c r="AX57" s="30">
        <f t="shared" si="16"/>
        <v>17.204057238993517</v>
      </c>
      <c r="AY57" s="31">
        <f t="shared" si="16"/>
        <v>17.204057238993492</v>
      </c>
      <c r="AZ57" s="30">
        <f t="shared" si="16"/>
        <v>17.422782728012347</v>
      </c>
      <c r="BA57" s="30">
        <f t="shared" si="16"/>
        <v>17.422782728012347</v>
      </c>
      <c r="BB57" s="30">
        <f t="shared" si="16"/>
        <v>17.422782728012344</v>
      </c>
      <c r="BC57" s="30">
        <f t="shared" si="16"/>
        <v>17.422782728012326</v>
      </c>
      <c r="BD57" s="30">
        <f t="shared" si="16"/>
        <v>17.792141446700143</v>
      </c>
      <c r="BE57" s="30">
        <f t="shared" si="16"/>
        <v>18.119694037132852</v>
      </c>
      <c r="BF57" s="30">
        <f t="shared" si="16"/>
        <v>18.119694037132852</v>
      </c>
      <c r="BG57" s="30">
        <f t="shared" si="16"/>
        <v>18.119694037132838</v>
      </c>
      <c r="BH57" s="30">
        <f t="shared" si="16"/>
        <v>18.119694037132842</v>
      </c>
      <c r="BI57" s="30">
        <f t="shared" si="16"/>
        <v>18.119694037132852</v>
      </c>
      <c r="BJ57" s="30">
        <f t="shared" si="15"/>
        <v>18.119694037132845</v>
      </c>
      <c r="BK57" s="30">
        <f t="shared" si="13"/>
        <v>18.119694037132827</v>
      </c>
      <c r="BL57" s="31">
        <f t="shared" si="7"/>
        <v>17.805371962342985</v>
      </c>
    </row>
    <row r="58" spans="2:64" ht="15" x14ac:dyDescent="0.4">
      <c r="B58" t="s">
        <v>107</v>
      </c>
      <c r="C58" s="26">
        <v>52726</v>
      </c>
      <c r="D58" t="s">
        <v>108</v>
      </c>
      <c r="E58" t="s">
        <v>108</v>
      </c>
      <c r="F58" t="s">
        <v>109</v>
      </c>
      <c r="G58" t="s">
        <v>33</v>
      </c>
      <c r="H58" t="s">
        <v>34</v>
      </c>
      <c r="J58" s="27">
        <v>24453.765921728937</v>
      </c>
      <c r="K58" s="27">
        <v>13657.319015508792</v>
      </c>
      <c r="L58" s="27">
        <v>21447.224776680177</v>
      </c>
      <c r="M58" s="27">
        <v>15527.302916429262</v>
      </c>
      <c r="N58" s="28">
        <f t="shared" si="8"/>
        <v>75085.612630347168</v>
      </c>
      <c r="O58" s="27">
        <v>19969.83300610755</v>
      </c>
      <c r="P58" s="27">
        <v>25253.175980048432</v>
      </c>
      <c r="Q58" s="27">
        <v>37143.640855790589</v>
      </c>
      <c r="R58" s="27">
        <v>29121.828330984339</v>
      </c>
      <c r="S58" s="27">
        <v>21976.430709010569</v>
      </c>
      <c r="T58" s="27">
        <v>20345.252524186548</v>
      </c>
      <c r="U58" s="27">
        <v>14644.631409941834</v>
      </c>
      <c r="V58" s="27">
        <v>13456.893004312144</v>
      </c>
      <c r="W58" s="27">
        <v>18884.779033123163</v>
      </c>
      <c r="X58" s="27">
        <v>10547.06471871386</v>
      </c>
      <c r="Y58" s="27">
        <v>16562.93358158935</v>
      </c>
      <c r="Z58" s="27">
        <v>11991.18718547067</v>
      </c>
      <c r="AA58" s="28">
        <f t="shared" si="9"/>
        <v>239897.65033927903</v>
      </c>
      <c r="AB58" s="29"/>
      <c r="AC58" s="27">
        <v>276152.74031992094</v>
      </c>
      <c r="AD58" s="27">
        <v>154230.07170461476</v>
      </c>
      <c r="AE58" s="27">
        <v>242200.31848242987</v>
      </c>
      <c r="AF58" s="27">
        <v>175347.52168128532</v>
      </c>
      <c r="AG58" s="28">
        <f t="shared" si="10"/>
        <v>847930.65218825091</v>
      </c>
      <c r="AH58" s="27">
        <v>227086.5307863687</v>
      </c>
      <c r="AI58" s="27">
        <v>287165.95290971996</v>
      </c>
      <c r="AJ58" s="27">
        <v>422378.12104571005</v>
      </c>
      <c r="AK58" s="27">
        <v>331158.25073834375</v>
      </c>
      <c r="AL58" s="27">
        <v>258974.90421109667</v>
      </c>
      <c r="AM58" s="27">
        <v>240609.83007560464</v>
      </c>
      <c r="AN58" s="27">
        <v>173192.35880100494</v>
      </c>
      <c r="AO58" s="27">
        <v>159145.76313387865</v>
      </c>
      <c r="AP58" s="27">
        <v>223337.77714350479</v>
      </c>
      <c r="AQ58" s="27">
        <v>124733.15073132091</v>
      </c>
      <c r="AR58" s="27">
        <v>195878.84838893526</v>
      </c>
      <c r="AS58" s="27">
        <v>141811.8309257123</v>
      </c>
      <c r="AT58" s="28">
        <f t="shared" si="11"/>
        <v>2785473.3188912012</v>
      </c>
      <c r="AU58" s="30">
        <f t="shared" si="16"/>
        <v>11.292851219882632</v>
      </c>
      <c r="AV58" s="30">
        <f t="shared" si="16"/>
        <v>11.292851219882634</v>
      </c>
      <c r="AW58" s="30">
        <f t="shared" si="16"/>
        <v>11.292851219882637</v>
      </c>
      <c r="AX58" s="30">
        <f t="shared" si="16"/>
        <v>11.29285121988263</v>
      </c>
      <c r="AY58" s="31">
        <f t="shared" si="16"/>
        <v>11.292851219882634</v>
      </c>
      <c r="AZ58" s="30">
        <f t="shared" si="16"/>
        <v>11.371478705751661</v>
      </c>
      <c r="BA58" s="30">
        <f t="shared" si="16"/>
        <v>11.371478705751656</v>
      </c>
      <c r="BB58" s="30">
        <f t="shared" si="16"/>
        <v>11.37147870575166</v>
      </c>
      <c r="BC58" s="30">
        <f t="shared" si="16"/>
        <v>11.371478705751658</v>
      </c>
      <c r="BD58" s="30">
        <f t="shared" si="16"/>
        <v>11.78421135079566</v>
      </c>
      <c r="BE58" s="30">
        <f t="shared" si="16"/>
        <v>11.826337853981727</v>
      </c>
      <c r="BF58" s="30">
        <f t="shared" si="16"/>
        <v>11.82633785398173</v>
      </c>
      <c r="BG58" s="30">
        <f t="shared" si="16"/>
        <v>11.82633785398173</v>
      </c>
      <c r="BH58" s="30">
        <f t="shared" si="16"/>
        <v>11.826337853981721</v>
      </c>
      <c r="BI58" s="30">
        <f t="shared" si="16"/>
        <v>11.826337853981732</v>
      </c>
      <c r="BJ58" s="30">
        <f t="shared" si="15"/>
        <v>11.826337853981727</v>
      </c>
      <c r="BK58" s="30">
        <f t="shared" si="13"/>
        <v>11.82633785398172</v>
      </c>
      <c r="BL58" s="31">
        <f t="shared" si="7"/>
        <v>11.611090458584323</v>
      </c>
    </row>
    <row r="59" spans="2:64" ht="15" x14ac:dyDescent="0.4">
      <c r="B59" t="s">
        <v>110</v>
      </c>
      <c r="C59" s="26">
        <v>53372</v>
      </c>
      <c r="D59" t="s">
        <v>111</v>
      </c>
      <c r="E59" t="s">
        <v>111</v>
      </c>
      <c r="F59" t="s">
        <v>109</v>
      </c>
      <c r="G59" t="s">
        <v>33</v>
      </c>
      <c r="H59" t="s">
        <v>34</v>
      </c>
      <c r="J59" s="27">
        <v>23719.348138365804</v>
      </c>
      <c r="K59" s="27">
        <v>14848.423663573793</v>
      </c>
      <c r="L59" s="27">
        <v>25742.883689292976</v>
      </c>
      <c r="M59" s="27">
        <v>12534.92486761894</v>
      </c>
      <c r="N59" s="28">
        <f t="shared" si="8"/>
        <v>76845.580358851512</v>
      </c>
      <c r="O59" s="27">
        <v>26187.905431408737</v>
      </c>
      <c r="P59" s="27">
        <v>28511.869124188481</v>
      </c>
      <c r="Q59" s="27">
        <v>38510.980602590862</v>
      </c>
      <c r="R59" s="27">
        <v>22404.062690349321</v>
      </c>
      <c r="S59" s="27">
        <v>22099.220645716057</v>
      </c>
      <c r="T59" s="27">
        <v>27988.447292156292</v>
      </c>
      <c r="U59" s="27">
        <v>11270.383218491714</v>
      </c>
      <c r="V59" s="27">
        <v>13105.283774917354</v>
      </c>
      <c r="W59" s="27">
        <v>19554.484057302645</v>
      </c>
      <c r="X59" s="27">
        <v>12241.199130417312</v>
      </c>
      <c r="Y59" s="27">
        <v>21222.708387885632</v>
      </c>
      <c r="Z59" s="27">
        <v>10333.926002244198</v>
      </c>
      <c r="AA59" s="28">
        <f t="shared" si="9"/>
        <v>253430.47035766862</v>
      </c>
      <c r="AB59" s="29"/>
      <c r="AC59" s="27">
        <v>533515.91393857461</v>
      </c>
      <c r="AD59" s="27">
        <v>333983.47522903426</v>
      </c>
      <c r="AE59" s="27">
        <v>579031.01041350211</v>
      </c>
      <c r="AF59" s="27">
        <v>281946.27684906701</v>
      </c>
      <c r="AG59" s="28">
        <f t="shared" si="10"/>
        <v>1728476.6764301781</v>
      </c>
      <c r="AH59" s="27">
        <v>589128.41214906273</v>
      </c>
      <c r="AI59" s="27">
        <v>641408.7689651273</v>
      </c>
      <c r="AJ59" s="27">
        <v>866350.80121744738</v>
      </c>
      <c r="AK59" s="27">
        <v>504006.32127773593</v>
      </c>
      <c r="AL59" s="27">
        <v>511855.82442728506</v>
      </c>
      <c r="AM59" s="27">
        <v>648464.15371565963</v>
      </c>
      <c r="AN59" s="27">
        <v>261123.43566406323</v>
      </c>
      <c r="AO59" s="27">
        <v>303636.23475057795</v>
      </c>
      <c r="AP59" s="27">
        <v>453057.71424907743</v>
      </c>
      <c r="AQ59" s="27">
        <v>283616.2632285619</v>
      </c>
      <c r="AR59" s="27">
        <v>491708.7929404825</v>
      </c>
      <c r="AS59" s="27">
        <v>239426.66449680203</v>
      </c>
      <c r="AT59" s="28">
        <f t="shared" si="11"/>
        <v>5793783.3870818829</v>
      </c>
      <c r="AU59" s="30">
        <f t="shared" si="16"/>
        <v>22.492857342720058</v>
      </c>
      <c r="AV59" s="30">
        <f t="shared" si="16"/>
        <v>22.492857342720072</v>
      </c>
      <c r="AW59" s="30">
        <f t="shared" si="16"/>
        <v>22.492857342720065</v>
      </c>
      <c r="AX59" s="30">
        <f t="shared" si="16"/>
        <v>22.492857342720065</v>
      </c>
      <c r="AY59" s="31">
        <f t="shared" si="16"/>
        <v>22.492857342720065</v>
      </c>
      <c r="AZ59" s="30">
        <f t="shared" si="16"/>
        <v>22.496202061371637</v>
      </c>
      <c r="BA59" s="30">
        <f t="shared" si="16"/>
        <v>22.49620206137164</v>
      </c>
      <c r="BB59" s="30">
        <f t="shared" si="16"/>
        <v>22.49620206137163</v>
      </c>
      <c r="BC59" s="30">
        <f t="shared" si="16"/>
        <v>22.496202061371644</v>
      </c>
      <c r="BD59" s="30">
        <f t="shared" si="16"/>
        <v>23.161713828424467</v>
      </c>
      <c r="BE59" s="30">
        <f t="shared" si="16"/>
        <v>23.168993511740485</v>
      </c>
      <c r="BF59" s="30">
        <f t="shared" si="16"/>
        <v>23.168993511740474</v>
      </c>
      <c r="BG59" s="30">
        <f t="shared" si="16"/>
        <v>23.168993511740478</v>
      </c>
      <c r="BH59" s="30">
        <f t="shared" si="16"/>
        <v>23.168993511740471</v>
      </c>
      <c r="BI59" s="30">
        <f t="shared" si="16"/>
        <v>23.168993511740481</v>
      </c>
      <c r="BJ59" s="30">
        <f t="shared" si="15"/>
        <v>23.168993511740481</v>
      </c>
      <c r="BK59" s="30">
        <f t="shared" si="13"/>
        <v>23.168993511740478</v>
      </c>
      <c r="BL59" s="31">
        <f t="shared" si="7"/>
        <v>22.861431693296652</v>
      </c>
    </row>
    <row r="60" spans="2:64" ht="15" x14ac:dyDescent="0.4">
      <c r="B60" t="s">
        <v>112</v>
      </c>
      <c r="C60" s="26">
        <v>52685</v>
      </c>
      <c r="D60" t="s">
        <v>113</v>
      </c>
      <c r="E60" t="s">
        <v>113</v>
      </c>
      <c r="F60" t="s">
        <v>109</v>
      </c>
      <c r="G60" t="s">
        <v>33</v>
      </c>
      <c r="H60" t="s">
        <v>34</v>
      </c>
      <c r="J60" s="27">
        <v>4130.1434226529309</v>
      </c>
      <c r="K60" s="27">
        <v>3335.1323109443797</v>
      </c>
      <c r="L60" s="27">
        <v>6413.6016391121748</v>
      </c>
      <c r="M60" s="27">
        <v>8916.8089537594824</v>
      </c>
      <c r="N60" s="28">
        <f t="shared" si="8"/>
        <v>22795.686326468967</v>
      </c>
      <c r="O60" s="27">
        <v>8122.6360426945266</v>
      </c>
      <c r="P60" s="27">
        <v>8284.8724483408841</v>
      </c>
      <c r="Q60" s="27">
        <v>10853.18290732656</v>
      </c>
      <c r="R60" s="27">
        <v>6808.7374721665146</v>
      </c>
      <c r="S60" s="27">
        <v>4496.9768493096235</v>
      </c>
      <c r="T60" s="27">
        <v>4843.2974965627254</v>
      </c>
      <c r="U60" s="27">
        <v>2738.76684251812</v>
      </c>
      <c r="V60" s="27">
        <v>3600.7829445191223</v>
      </c>
      <c r="W60" s="27">
        <v>3606.1908247073329</v>
      </c>
      <c r="X60" s="27">
        <v>2912.0353237484319</v>
      </c>
      <c r="Y60" s="27">
        <v>5599.9680924973572</v>
      </c>
      <c r="Z60" s="27">
        <v>7785.6169493651469</v>
      </c>
      <c r="AA60" s="28">
        <f t="shared" si="9"/>
        <v>69653.064193756334</v>
      </c>
      <c r="AB60" s="29"/>
      <c r="AC60" s="27">
        <v>51600.448259185541</v>
      </c>
      <c r="AD60" s="27">
        <v>41667.880419000408</v>
      </c>
      <c r="AE60" s="27">
        <v>80129.110703244907</v>
      </c>
      <c r="AF60" s="27">
        <v>111403.2351835286</v>
      </c>
      <c r="AG60" s="28">
        <f t="shared" si="10"/>
        <v>284800.67456495948</v>
      </c>
      <c r="AH60" s="27">
        <v>102490.36769210007</v>
      </c>
      <c r="AI60" s="27">
        <v>104537.44560871988</v>
      </c>
      <c r="AJ60" s="27">
        <v>136944.05374742314</v>
      </c>
      <c r="AK60" s="27">
        <v>85911.766004701538</v>
      </c>
      <c r="AL60" s="27">
        <v>58790.815961563021</v>
      </c>
      <c r="AM60" s="27">
        <v>63556.583380323988</v>
      </c>
      <c r="AN60" s="27">
        <v>35939.700856555675</v>
      </c>
      <c r="AO60" s="27">
        <v>47251.580480074699</v>
      </c>
      <c r="AP60" s="27">
        <v>47322.545847850881</v>
      </c>
      <c r="AQ60" s="27">
        <v>38213.431240103659</v>
      </c>
      <c r="AR60" s="27">
        <v>73486.057639563471</v>
      </c>
      <c r="AS60" s="27">
        <v>102167.42067997411</v>
      </c>
      <c r="AT60" s="28">
        <f t="shared" si="11"/>
        <v>896611.76913895423</v>
      </c>
      <c r="AU60" s="30">
        <f t="shared" si="16"/>
        <v>12.493621402145116</v>
      </c>
      <c r="AV60" s="30">
        <f t="shared" si="16"/>
        <v>12.493621402145118</v>
      </c>
      <c r="AW60" s="30">
        <f t="shared" si="16"/>
        <v>12.493621402145124</v>
      </c>
      <c r="AX60" s="30">
        <f t="shared" si="16"/>
        <v>12.493621402145108</v>
      </c>
      <c r="AY60" s="31">
        <f t="shared" si="16"/>
        <v>12.493621402145116</v>
      </c>
      <c r="AZ60" s="30">
        <f t="shared" si="16"/>
        <v>12.617870252143033</v>
      </c>
      <c r="BA60" s="30">
        <f t="shared" si="16"/>
        <v>12.617870252143035</v>
      </c>
      <c r="BB60" s="30">
        <f t="shared" si="16"/>
        <v>12.617870252143042</v>
      </c>
      <c r="BC60" s="30">
        <f t="shared" si="16"/>
        <v>12.617870252143051</v>
      </c>
      <c r="BD60" s="30">
        <f t="shared" si="16"/>
        <v>13.073408632421266</v>
      </c>
      <c r="BE60" s="30">
        <f t="shared" si="16"/>
        <v>13.122585062228763</v>
      </c>
      <c r="BF60" s="30">
        <f t="shared" si="16"/>
        <v>13.122585062228747</v>
      </c>
      <c r="BG60" s="30">
        <f t="shared" si="16"/>
        <v>13.122585062228753</v>
      </c>
      <c r="BH60" s="30">
        <f t="shared" si="16"/>
        <v>13.122585062228765</v>
      </c>
      <c r="BI60" s="30">
        <f t="shared" si="16"/>
        <v>13.122585062228758</v>
      </c>
      <c r="BJ60" s="30">
        <f t="shared" si="15"/>
        <v>13.122585062228755</v>
      </c>
      <c r="BK60" s="30">
        <f t="shared" si="13"/>
        <v>13.122585062228758</v>
      </c>
      <c r="BL60" s="31">
        <f t="shared" si="7"/>
        <v>12.872538767925819</v>
      </c>
    </row>
    <row r="61" spans="2:64" ht="15" x14ac:dyDescent="0.4">
      <c r="B61" t="s">
        <v>114</v>
      </c>
      <c r="C61" s="26">
        <v>52688</v>
      </c>
      <c r="D61" t="s">
        <v>113</v>
      </c>
      <c r="E61" t="s">
        <v>113</v>
      </c>
      <c r="F61" t="s">
        <v>109</v>
      </c>
      <c r="G61" t="s">
        <v>33</v>
      </c>
      <c r="H61" t="s">
        <v>34</v>
      </c>
      <c r="J61" s="27">
        <v>4277.786600351641</v>
      </c>
      <c r="K61" s="27">
        <v>3454.3556603643347</v>
      </c>
      <c r="L61" s="27">
        <v>6642.8732235560765</v>
      </c>
      <c r="M61" s="27">
        <v>9235.5644724285539</v>
      </c>
      <c r="N61" s="28">
        <f t="shared" si="8"/>
        <v>23610.579956700603</v>
      </c>
      <c r="O61" s="27">
        <v>8697.3549818195079</v>
      </c>
      <c r="P61" s="27">
        <v>8871.07046081724</v>
      </c>
      <c r="Q61" s="27">
        <v>11621.10230367057</v>
      </c>
      <c r="R61" s="27">
        <v>7290.491222576582</v>
      </c>
      <c r="S61" s="27">
        <v>4815.161457178313</v>
      </c>
      <c r="T61" s="27">
        <v>5185.9860996787875</v>
      </c>
      <c r="U61" s="27">
        <v>2932.5489061202866</v>
      </c>
      <c r="V61" s="27">
        <v>3855.5571511948719</v>
      </c>
      <c r="W61" s="27">
        <v>3861.347667161464</v>
      </c>
      <c r="X61" s="27">
        <v>3118.0770376898558</v>
      </c>
      <c r="Y61" s="27">
        <v>5996.1950937241872</v>
      </c>
      <c r="Z61" s="27">
        <v>8336.4900267815574</v>
      </c>
      <c r="AA61" s="28">
        <f t="shared" si="9"/>
        <v>74581.382408413236</v>
      </c>
      <c r="AB61" s="29"/>
      <c r="AC61" s="27">
        <v>195800.73170546509</v>
      </c>
      <c r="AD61" s="27">
        <v>158111.05813802249</v>
      </c>
      <c r="AE61" s="27">
        <v>304054.30642379483</v>
      </c>
      <c r="AF61" s="27">
        <v>422725.68745384843</v>
      </c>
      <c r="AG61" s="28">
        <f t="shared" si="10"/>
        <v>1080691.7837211308</v>
      </c>
      <c r="AH61" s="27">
        <v>394051.79328463727</v>
      </c>
      <c r="AI61" s="27">
        <v>401922.33509458398</v>
      </c>
      <c r="AJ61" s="27">
        <v>526518.25897390489</v>
      </c>
      <c r="AK61" s="27">
        <v>330310.89867982024</v>
      </c>
      <c r="AL61" s="27">
        <v>224165.62018572172</v>
      </c>
      <c r="AM61" s="27">
        <v>244360.38449290983</v>
      </c>
      <c r="AN61" s="27">
        <v>138179.84939994331</v>
      </c>
      <c r="AO61" s="27">
        <v>181671.41403613106</v>
      </c>
      <c r="AP61" s="27">
        <v>181944.25948554263</v>
      </c>
      <c r="AQ61" s="27">
        <v>146921.8175990867</v>
      </c>
      <c r="AR61" s="27">
        <v>282536.91977456212</v>
      </c>
      <c r="AS61" s="27">
        <v>392810.13660870056</v>
      </c>
      <c r="AT61" s="28">
        <f t="shared" si="11"/>
        <v>3445393.6876155445</v>
      </c>
      <c r="AU61" s="30">
        <f t="shared" si="16"/>
        <v>45.771505219397795</v>
      </c>
      <c r="AV61" s="30">
        <f t="shared" si="16"/>
        <v>45.771505219397802</v>
      </c>
      <c r="AW61" s="30">
        <f t="shared" si="16"/>
        <v>45.771505219397795</v>
      </c>
      <c r="AX61" s="30">
        <f t="shared" si="16"/>
        <v>45.771505219397795</v>
      </c>
      <c r="AY61" s="31">
        <f t="shared" si="16"/>
        <v>45.771505219397802</v>
      </c>
      <c r="AZ61" s="30">
        <f t="shared" si="16"/>
        <v>45.307084062722787</v>
      </c>
      <c r="BA61" s="30">
        <f t="shared" si="16"/>
        <v>45.307084062722822</v>
      </c>
      <c r="BB61" s="30">
        <f t="shared" si="16"/>
        <v>45.307084062722865</v>
      </c>
      <c r="BC61" s="30">
        <f t="shared" si="16"/>
        <v>45.307084062722843</v>
      </c>
      <c r="BD61" s="30">
        <f t="shared" si="16"/>
        <v>46.554123299758032</v>
      </c>
      <c r="BE61" s="30">
        <f t="shared" si="16"/>
        <v>47.11936742523185</v>
      </c>
      <c r="BF61" s="30">
        <f t="shared" si="16"/>
        <v>47.119367425231779</v>
      </c>
      <c r="BG61" s="30">
        <f t="shared" si="16"/>
        <v>47.119367425231772</v>
      </c>
      <c r="BH61" s="30">
        <f t="shared" si="16"/>
        <v>47.119367425231786</v>
      </c>
      <c r="BI61" s="30">
        <f t="shared" si="16"/>
        <v>47.119367425231815</v>
      </c>
      <c r="BJ61" s="30">
        <f t="shared" si="15"/>
        <v>47.119367425231786</v>
      </c>
      <c r="BK61" s="30">
        <f t="shared" si="13"/>
        <v>47.119367425231786</v>
      </c>
      <c r="BL61" s="31">
        <f t="shared" si="7"/>
        <v>46.196431017439586</v>
      </c>
    </row>
    <row r="62" spans="2:64" ht="15" x14ac:dyDescent="0.4">
      <c r="B62" t="s">
        <v>115</v>
      </c>
      <c r="C62" s="26">
        <v>52691</v>
      </c>
      <c r="D62" t="s">
        <v>113</v>
      </c>
      <c r="E62" t="s">
        <v>113</v>
      </c>
      <c r="F62" t="s">
        <v>109</v>
      </c>
      <c r="G62" t="s">
        <v>33</v>
      </c>
      <c r="H62" t="s">
        <v>34</v>
      </c>
      <c r="J62" s="27">
        <v>2454.9118166430121</v>
      </c>
      <c r="K62" s="27">
        <v>1982.365957389972</v>
      </c>
      <c r="L62" s="27">
        <v>3812.1742612473345</v>
      </c>
      <c r="M62" s="27">
        <v>5300.0531524572807</v>
      </c>
      <c r="N62" s="28">
        <f t="shared" si="8"/>
        <v>13549.505187737599</v>
      </c>
      <c r="O62" s="27">
        <v>2579.0789198338075</v>
      </c>
      <c r="P62" s="27">
        <v>2630.591814371101</v>
      </c>
      <c r="Q62" s="27">
        <v>3446.0752768261386</v>
      </c>
      <c r="R62" s="27">
        <v>2161.8931579411155</v>
      </c>
      <c r="S62" s="27">
        <v>1427.8687527143802</v>
      </c>
      <c r="T62" s="27">
        <v>1537.8316115866553</v>
      </c>
      <c r="U62" s="27">
        <v>869.60634364889017</v>
      </c>
      <c r="V62" s="27">
        <v>1143.3115232903742</v>
      </c>
      <c r="W62" s="27">
        <v>1145.0286197749504</v>
      </c>
      <c r="X62" s="27">
        <v>924.62211501471904</v>
      </c>
      <c r="Y62" s="27">
        <v>1778.0877517085901</v>
      </c>
      <c r="Z62" s="27">
        <v>2472.0694669150039</v>
      </c>
      <c r="AA62" s="28">
        <f t="shared" si="9"/>
        <v>22116.065353625727</v>
      </c>
      <c r="AB62" s="29"/>
      <c r="AC62" s="27">
        <v>32373.008259373801</v>
      </c>
      <c r="AD62" s="27">
        <v>26141.529433608666</v>
      </c>
      <c r="AE62" s="27">
        <v>50271.275737428448</v>
      </c>
      <c r="AF62" s="27">
        <v>69891.986879694174</v>
      </c>
      <c r="AG62" s="28">
        <f t="shared" si="10"/>
        <v>178677.80031010509</v>
      </c>
      <c r="AH62" s="27">
        <v>33322.957950954413</v>
      </c>
      <c r="AI62" s="27">
        <v>33988.529681000095</v>
      </c>
      <c r="AJ62" s="27">
        <v>44524.97388211012</v>
      </c>
      <c r="AK62" s="27">
        <v>27932.71436655768</v>
      </c>
      <c r="AL62" s="27">
        <v>19095.721891931167</v>
      </c>
      <c r="AM62" s="27">
        <v>20664.31610286935</v>
      </c>
      <c r="AN62" s="27">
        <v>11685.167761430494</v>
      </c>
      <c r="AO62" s="27">
        <v>15363.028398765666</v>
      </c>
      <c r="AP62" s="27">
        <v>15386.101552073909</v>
      </c>
      <c r="AQ62" s="27">
        <v>12424.431593426856</v>
      </c>
      <c r="AR62" s="27">
        <v>23892.711713759789</v>
      </c>
      <c r="AS62" s="27">
        <v>33217.957354822393</v>
      </c>
      <c r="AT62" s="28">
        <f t="shared" si="11"/>
        <v>291498.61224970192</v>
      </c>
      <c r="AU62" s="30">
        <f t="shared" si="16"/>
        <v>13.187035086108517</v>
      </c>
      <c r="AV62" s="30">
        <f t="shared" si="16"/>
        <v>13.187035086108519</v>
      </c>
      <c r="AW62" s="30">
        <f t="shared" si="16"/>
        <v>13.187035086108526</v>
      </c>
      <c r="AX62" s="30">
        <f t="shared" si="16"/>
        <v>13.187035086108509</v>
      </c>
      <c r="AY62" s="31">
        <f t="shared" si="16"/>
        <v>13.187035086108517</v>
      </c>
      <c r="AZ62" s="30">
        <f t="shared" si="16"/>
        <v>12.92048788995635</v>
      </c>
      <c r="BA62" s="30">
        <f t="shared" si="16"/>
        <v>12.920487889956343</v>
      </c>
      <c r="BB62" s="30">
        <f t="shared" si="16"/>
        <v>12.920487889956355</v>
      </c>
      <c r="BC62" s="30">
        <f t="shared" si="16"/>
        <v>12.920487889956354</v>
      </c>
      <c r="BD62" s="30">
        <f t="shared" si="16"/>
        <v>13.373583430290898</v>
      </c>
      <c r="BE62" s="30">
        <f t="shared" si="16"/>
        <v>13.437307405554614</v>
      </c>
      <c r="BF62" s="30">
        <f t="shared" si="16"/>
        <v>13.437307405554604</v>
      </c>
      <c r="BG62" s="30">
        <f t="shared" si="16"/>
        <v>13.437307405554609</v>
      </c>
      <c r="BH62" s="30">
        <f t="shared" si="16"/>
        <v>13.437307405554606</v>
      </c>
      <c r="BI62" s="30">
        <f t="shared" si="16"/>
        <v>13.437307405554616</v>
      </c>
      <c r="BJ62" s="30">
        <f t="shared" si="15"/>
        <v>13.437307405554613</v>
      </c>
      <c r="BK62" s="30">
        <f t="shared" si="13"/>
        <v>13.4373074055546</v>
      </c>
      <c r="BL62" s="31">
        <f t="shared" si="7"/>
        <v>13.18040110610875</v>
      </c>
    </row>
    <row r="63" spans="2:64" ht="15" x14ac:dyDescent="0.4">
      <c r="B63" t="s">
        <v>116</v>
      </c>
      <c r="C63" s="26">
        <v>52690</v>
      </c>
      <c r="D63" t="s">
        <v>113</v>
      </c>
      <c r="E63" t="s">
        <v>113</v>
      </c>
      <c r="F63" t="s">
        <v>109</v>
      </c>
      <c r="G63" t="s">
        <v>33</v>
      </c>
      <c r="H63" t="s">
        <v>34</v>
      </c>
      <c r="J63" s="27">
        <v>1167.2374916980061</v>
      </c>
      <c r="K63" s="27">
        <v>942.55600223373256</v>
      </c>
      <c r="L63" s="27">
        <v>1812.5753815054877</v>
      </c>
      <c r="M63" s="27">
        <v>2520.0175035207621</v>
      </c>
      <c r="N63" s="28">
        <f t="shared" si="8"/>
        <v>6442.3863789579882</v>
      </c>
      <c r="O63" s="27">
        <v>2402.7337637815926</v>
      </c>
      <c r="P63" s="27">
        <v>2450.7244514736362</v>
      </c>
      <c r="Q63" s="27">
        <v>3210.449031430463</v>
      </c>
      <c r="R63" s="27">
        <v>2014.073181059639</v>
      </c>
      <c r="S63" s="27">
        <v>1330.2378752398281</v>
      </c>
      <c r="T63" s="27">
        <v>1432.6819965664413</v>
      </c>
      <c r="U63" s="27">
        <v>810.14679582526617</v>
      </c>
      <c r="V63" s="27">
        <v>1065.1373164289853</v>
      </c>
      <c r="W63" s="27">
        <v>1066.7370060187204</v>
      </c>
      <c r="X63" s="27">
        <v>861.40085028036754</v>
      </c>
      <c r="Y63" s="27">
        <v>1656.5105639621274</v>
      </c>
      <c r="Z63" s="27">
        <v>2303.0411085493242</v>
      </c>
      <c r="AA63" s="28">
        <f t="shared" si="9"/>
        <v>20603.873940616395</v>
      </c>
      <c r="AB63" s="29"/>
      <c r="AC63" s="27">
        <v>54914.606542056048</v>
      </c>
      <c r="AD63" s="27">
        <v>44344.096531051422</v>
      </c>
      <c r="AE63" s="27">
        <v>85275.588396661682</v>
      </c>
      <c r="AF63" s="27">
        <v>118558.36594455528</v>
      </c>
      <c r="AG63" s="28">
        <f t="shared" si="10"/>
        <v>303092.65741432441</v>
      </c>
      <c r="AH63" s="27">
        <v>111888.28937277157</v>
      </c>
      <c r="AI63" s="27">
        <v>114123.07544546343</v>
      </c>
      <c r="AJ63" s="27">
        <v>149501.22883355708</v>
      </c>
      <c r="AK63" s="27">
        <v>93789.501898731251</v>
      </c>
      <c r="AL63" s="27">
        <v>63545.261360034157</v>
      </c>
      <c r="AM63" s="27">
        <v>69384.446099030916</v>
      </c>
      <c r="AN63" s="27">
        <v>39235.215366673961</v>
      </c>
      <c r="AO63" s="27">
        <v>51584.345232892745</v>
      </c>
      <c r="AP63" s="27">
        <v>51661.81781674605</v>
      </c>
      <c r="AQ63" s="27">
        <v>41717.43695333424</v>
      </c>
      <c r="AR63" s="27">
        <v>80224.410031787047</v>
      </c>
      <c r="AS63" s="27">
        <v>111535.72952194375</v>
      </c>
      <c r="AT63" s="28">
        <f t="shared" si="11"/>
        <v>978190.75793296611</v>
      </c>
      <c r="AU63" s="30">
        <f t="shared" si="16"/>
        <v>47.046643834384177</v>
      </c>
      <c r="AV63" s="30">
        <f t="shared" si="16"/>
        <v>47.046643834384163</v>
      </c>
      <c r="AW63" s="30">
        <f t="shared" si="16"/>
        <v>47.046643834384163</v>
      </c>
      <c r="AX63" s="30">
        <f t="shared" si="16"/>
        <v>47.046643834384177</v>
      </c>
      <c r="AY63" s="31">
        <f t="shared" si="16"/>
        <v>47.04664383438417</v>
      </c>
      <c r="AZ63" s="30">
        <f t="shared" si="16"/>
        <v>46.567077492877885</v>
      </c>
      <c r="BA63" s="30">
        <f t="shared" si="16"/>
        <v>46.567077492877871</v>
      </c>
      <c r="BB63" s="30">
        <f t="shared" si="16"/>
        <v>46.567077492877871</v>
      </c>
      <c r="BC63" s="30">
        <f t="shared" si="16"/>
        <v>46.567077492877871</v>
      </c>
      <c r="BD63" s="30">
        <f t="shared" si="16"/>
        <v>47.769848192435212</v>
      </c>
      <c r="BE63" s="30">
        <f t="shared" si="16"/>
        <v>48.429760592593013</v>
      </c>
      <c r="BF63" s="30">
        <f t="shared" si="16"/>
        <v>48.429760592592999</v>
      </c>
      <c r="BG63" s="30">
        <f t="shared" si="16"/>
        <v>48.429760592593013</v>
      </c>
      <c r="BH63" s="30">
        <f t="shared" si="16"/>
        <v>48.429760592592984</v>
      </c>
      <c r="BI63" s="30">
        <f t="shared" si="16"/>
        <v>48.429760592592991</v>
      </c>
      <c r="BJ63" s="30">
        <f t="shared" si="15"/>
        <v>48.429760592592999</v>
      </c>
      <c r="BK63" s="30">
        <f t="shared" si="13"/>
        <v>48.429760592592999</v>
      </c>
      <c r="BL63" s="31">
        <f t="shared" si="7"/>
        <v>47.476060121133806</v>
      </c>
    </row>
    <row r="64" spans="2:64" ht="15" x14ac:dyDescent="0.4">
      <c r="B64" t="s">
        <v>117</v>
      </c>
      <c r="C64" s="26">
        <v>60694</v>
      </c>
      <c r="D64" t="s">
        <v>118</v>
      </c>
      <c r="E64" t="s">
        <v>118</v>
      </c>
      <c r="F64" t="s">
        <v>109</v>
      </c>
      <c r="G64" t="s">
        <v>33</v>
      </c>
      <c r="H64" t="s">
        <v>34</v>
      </c>
      <c r="J64" s="27">
        <v>6903.5736868150261</v>
      </c>
      <c r="K64" s="27">
        <v>7234.4669119202017</v>
      </c>
      <c r="L64" s="27">
        <v>7498.7250875559203</v>
      </c>
      <c r="M64" s="27">
        <v>3842.9254557042509</v>
      </c>
      <c r="N64" s="28">
        <f t="shared" si="8"/>
        <v>25479.691141995398</v>
      </c>
      <c r="O64" s="27">
        <v>8782.8945569782463</v>
      </c>
      <c r="P64" s="27">
        <v>9357.1607395498995</v>
      </c>
      <c r="Q64" s="27">
        <v>8519.4990185491151</v>
      </c>
      <c r="R64" s="27">
        <v>6695.3593797920967</v>
      </c>
      <c r="S64" s="27">
        <v>3936.7818430031384</v>
      </c>
      <c r="T64" s="27">
        <v>5091.2485963606196</v>
      </c>
      <c r="U64" s="27">
        <v>12941.531220911285</v>
      </c>
      <c r="V64" s="27">
        <v>6173.1332169447387</v>
      </c>
      <c r="W64" s="27">
        <v>6904.8889328925652</v>
      </c>
      <c r="X64" s="27">
        <v>7235.8451986830669</v>
      </c>
      <c r="Y64" s="27">
        <v>7500.1537199143759</v>
      </c>
      <c r="Z64" s="27">
        <v>3843.6575971807083</v>
      </c>
      <c r="AA64" s="28">
        <f t="shared" si="9"/>
        <v>86982.154020759845</v>
      </c>
      <c r="AB64" s="29"/>
      <c r="AC64" s="27">
        <v>193712.07921127739</v>
      </c>
      <c r="AD64" s="27">
        <v>202996.8377348909</v>
      </c>
      <c r="AE64" s="27">
        <v>210411.83799030073</v>
      </c>
      <c r="AF64" s="27">
        <v>107831.26450872386</v>
      </c>
      <c r="AG64" s="28">
        <f t="shared" si="10"/>
        <v>714952.01944519288</v>
      </c>
      <c r="AH64" s="27">
        <v>240948.88786323206</v>
      </c>
      <c r="AI64" s="27">
        <v>256703.23822352043</v>
      </c>
      <c r="AJ64" s="27">
        <v>233722.92589352906</v>
      </c>
      <c r="AK64" s="27">
        <v>183679.69533731934</v>
      </c>
      <c r="AL64" s="27">
        <v>112197.31928047654</v>
      </c>
      <c r="AM64" s="27">
        <v>145259.61872100693</v>
      </c>
      <c r="AN64" s="27">
        <v>369237.89032014227</v>
      </c>
      <c r="AO64" s="27">
        <v>176127.12489591821</v>
      </c>
      <c r="AP64" s="27">
        <v>197005.02042266208</v>
      </c>
      <c r="AQ64" s="27">
        <v>206447.61197405908</v>
      </c>
      <c r="AR64" s="27">
        <v>213988.66095096775</v>
      </c>
      <c r="AS64" s="27">
        <v>109664.30463829268</v>
      </c>
      <c r="AT64" s="28">
        <f t="shared" si="11"/>
        <v>2444982.2985211262</v>
      </c>
      <c r="AU64" s="30">
        <f t="shared" si="16"/>
        <v>28.059681550331469</v>
      </c>
      <c r="AV64" s="30">
        <f t="shared" si="16"/>
        <v>28.059681550331486</v>
      </c>
      <c r="AW64" s="30">
        <f t="shared" si="16"/>
        <v>28.05968155033149</v>
      </c>
      <c r="AX64" s="30">
        <f t="shared" si="16"/>
        <v>28.059681550331504</v>
      </c>
      <c r="AY64" s="31">
        <f t="shared" si="16"/>
        <v>28.059681550331486</v>
      </c>
      <c r="AZ64" s="30">
        <f t="shared" si="16"/>
        <v>27.433881427141998</v>
      </c>
      <c r="BA64" s="30">
        <f t="shared" si="16"/>
        <v>27.433881427142015</v>
      </c>
      <c r="BB64" s="30">
        <f t="shared" si="16"/>
        <v>27.433881427141998</v>
      </c>
      <c r="BC64" s="30">
        <f t="shared" si="16"/>
        <v>27.433881427141994</v>
      </c>
      <c r="BD64" s="30">
        <f t="shared" si="16"/>
        <v>28.499755321693883</v>
      </c>
      <c r="BE64" s="30">
        <f t="shared" si="16"/>
        <v>28.531236684227707</v>
      </c>
      <c r="BF64" s="30">
        <f t="shared" si="16"/>
        <v>28.531236684227707</v>
      </c>
      <c r="BG64" s="30">
        <f t="shared" si="16"/>
        <v>28.531236684227689</v>
      </c>
      <c r="BH64" s="30">
        <f t="shared" si="16"/>
        <v>28.531236684227682</v>
      </c>
      <c r="BI64" s="30">
        <f t="shared" si="16"/>
        <v>28.531236684227686</v>
      </c>
      <c r="BJ64" s="30">
        <f t="shared" si="15"/>
        <v>28.531236684227682</v>
      </c>
      <c r="BK64" s="30">
        <f t="shared" si="13"/>
        <v>28.531236684227689</v>
      </c>
      <c r="BL64" s="31">
        <f t="shared" si="7"/>
        <v>28.109010705087705</v>
      </c>
    </row>
    <row r="65" spans="2:64" ht="15" x14ac:dyDescent="0.4">
      <c r="B65" t="s">
        <v>119</v>
      </c>
      <c r="C65" s="26">
        <v>53631</v>
      </c>
      <c r="D65" t="s">
        <v>120</v>
      </c>
      <c r="E65" t="s">
        <v>120</v>
      </c>
      <c r="F65" t="s">
        <v>53</v>
      </c>
      <c r="G65" t="s">
        <v>33</v>
      </c>
      <c r="H65" t="s">
        <v>34</v>
      </c>
      <c r="J65" s="27">
        <v>3652.1038502398801</v>
      </c>
      <c r="K65" s="27">
        <v>2916.5799362471416</v>
      </c>
      <c r="L65" s="27">
        <v>4430.3599361792712</v>
      </c>
      <c r="M65" s="27">
        <v>3281.2363265213858</v>
      </c>
      <c r="N65" s="28">
        <f t="shared" si="8"/>
        <v>14280.280049187679</v>
      </c>
      <c r="O65" s="27">
        <v>7148.3102912937693</v>
      </c>
      <c r="P65" s="27">
        <v>8038.0546787823505</v>
      </c>
      <c r="Q65" s="27">
        <v>13234.188884107998</v>
      </c>
      <c r="R65" s="27">
        <v>7309.5300855392361</v>
      </c>
      <c r="S65" s="27">
        <v>3297.9229040422038</v>
      </c>
      <c r="T65" s="27">
        <v>5992.9714703814743</v>
      </c>
      <c r="U65" s="27">
        <v>5362.568346891273</v>
      </c>
      <c r="V65" s="27">
        <v>5505.7571574539706</v>
      </c>
      <c r="W65" s="27">
        <v>4624.7820474766522</v>
      </c>
      <c r="X65" s="27">
        <v>3693.3633550153318</v>
      </c>
      <c r="Y65" s="27">
        <v>5610.3139277805294</v>
      </c>
      <c r="Z65" s="27">
        <v>4155.1400175620975</v>
      </c>
      <c r="AA65" s="28">
        <f t="shared" si="9"/>
        <v>73972.903166326883</v>
      </c>
      <c r="AB65" s="29"/>
      <c r="AC65" s="27">
        <v>76732.271455247028</v>
      </c>
      <c r="AD65" s="27">
        <v>61278.597916744096</v>
      </c>
      <c r="AE65" s="27">
        <v>93083.766291319931</v>
      </c>
      <c r="AF65" s="27">
        <v>68940.185394486834</v>
      </c>
      <c r="AG65" s="28">
        <f t="shared" si="10"/>
        <v>300034.82105779788</v>
      </c>
      <c r="AH65" s="27">
        <v>140293.29306322828</v>
      </c>
      <c r="AI65" s="27">
        <v>157755.48552811431</v>
      </c>
      <c r="AJ65" s="27">
        <v>259735.21908157732</v>
      </c>
      <c r="AK65" s="27">
        <v>143457.40526876863</v>
      </c>
      <c r="AL65" s="27">
        <v>67282.432806907207</v>
      </c>
      <c r="AM65" s="27">
        <v>122323.26456104187</v>
      </c>
      <c r="AN65" s="27">
        <v>109456.03026234586</v>
      </c>
      <c r="AO65" s="27">
        <v>112378.6743702323</v>
      </c>
      <c r="AP65" s="27">
        <v>94396.984989256598</v>
      </c>
      <c r="AQ65" s="27">
        <v>75385.685553220173</v>
      </c>
      <c r="AR65" s="27">
        <v>114512.79523857166</v>
      </c>
      <c r="AS65" s="27">
        <v>84811.064789545446</v>
      </c>
      <c r="AT65" s="28">
        <f t="shared" si="11"/>
        <v>1481788.3355128097</v>
      </c>
      <c r="AU65" s="30">
        <f t="shared" si="16"/>
        <v>21.010429769188256</v>
      </c>
      <c r="AV65" s="30">
        <f t="shared" si="16"/>
        <v>21.010429769188246</v>
      </c>
      <c r="AW65" s="30">
        <f t="shared" si="16"/>
        <v>21.010429769188253</v>
      </c>
      <c r="AX65" s="30">
        <f t="shared" si="16"/>
        <v>21.010429769188253</v>
      </c>
      <c r="AY65" s="31">
        <f t="shared" si="16"/>
        <v>21.010429769188253</v>
      </c>
      <c r="AZ65" s="30">
        <f t="shared" si="16"/>
        <v>19.626077680776874</v>
      </c>
      <c r="BA65" s="30">
        <f t="shared" si="16"/>
        <v>19.626077680776859</v>
      </c>
      <c r="BB65" s="30">
        <f t="shared" si="16"/>
        <v>19.62607768077687</v>
      </c>
      <c r="BC65" s="30">
        <f t="shared" si="16"/>
        <v>19.62607768077687</v>
      </c>
      <c r="BD65" s="30">
        <f t="shared" si="16"/>
        <v>20.401457148813382</v>
      </c>
      <c r="BE65" s="30">
        <f t="shared" si="16"/>
        <v>20.411120788007949</v>
      </c>
      <c r="BF65" s="30">
        <f t="shared" si="16"/>
        <v>20.411120788007942</v>
      </c>
      <c r="BG65" s="30">
        <f t="shared" si="16"/>
        <v>20.411120788007949</v>
      </c>
      <c r="BH65" s="30">
        <f t="shared" si="16"/>
        <v>20.411120788007935</v>
      </c>
      <c r="BI65" s="30">
        <f t="shared" si="16"/>
        <v>20.411120788007935</v>
      </c>
      <c r="BJ65" s="30">
        <f t="shared" si="15"/>
        <v>20.411120788007945</v>
      </c>
      <c r="BK65" s="30">
        <f t="shared" si="13"/>
        <v>20.411120788007949</v>
      </c>
      <c r="BL65" s="31">
        <f t="shared" si="7"/>
        <v>20.031501699764743</v>
      </c>
    </row>
    <row r="66" spans="2:64" ht="15" x14ac:dyDescent="0.4">
      <c r="B66" t="s">
        <v>121</v>
      </c>
      <c r="C66" s="26">
        <v>53941</v>
      </c>
      <c r="D66" t="s">
        <v>122</v>
      </c>
      <c r="E66" t="s">
        <v>122</v>
      </c>
      <c r="F66" t="s">
        <v>109</v>
      </c>
      <c r="G66" t="s">
        <v>33</v>
      </c>
      <c r="H66" t="s">
        <v>76</v>
      </c>
      <c r="J66" s="27">
        <v>6176.4703496038874</v>
      </c>
      <c r="K66" s="27">
        <v>5315.791350333343</v>
      </c>
      <c r="L66" s="27">
        <v>8198.9676220832735</v>
      </c>
      <c r="M66" s="27">
        <v>14318.052084639032</v>
      </c>
      <c r="N66" s="28">
        <f t="shared" si="8"/>
        <v>34009.281406659531</v>
      </c>
      <c r="O66" s="27">
        <v>2695.7965282798432</v>
      </c>
      <c r="P66" s="27">
        <v>2115.2438054484378</v>
      </c>
      <c r="Q66" s="27">
        <v>3515.9756091805693</v>
      </c>
      <c r="R66" s="27">
        <v>4618.621225538006</v>
      </c>
      <c r="S66" s="27">
        <v>2736.2522305030834</v>
      </c>
      <c r="T66" s="27">
        <v>3049.9312779399775</v>
      </c>
      <c r="U66" s="27">
        <v>2086.4157686324079</v>
      </c>
      <c r="V66" s="27">
        <v>1777.7200063700307</v>
      </c>
      <c r="W66" s="27">
        <v>1513.9006025340973</v>
      </c>
      <c r="X66" s="27">
        <v>1302.9415301461468</v>
      </c>
      <c r="Y66" s="27">
        <v>2009.6303099755794</v>
      </c>
      <c r="Z66" s="27">
        <v>3509.4651882267603</v>
      </c>
      <c r="AA66" s="28">
        <f t="shared" si="9"/>
        <v>30931.894082774932</v>
      </c>
      <c r="AB66" s="29"/>
      <c r="AC66" s="27">
        <v>63390.577179365631</v>
      </c>
      <c r="AD66" s="27">
        <v>54557.22488562121</v>
      </c>
      <c r="AE66" s="27">
        <v>84147.945415478767</v>
      </c>
      <c r="AF66" s="27">
        <v>146949.55765272921</v>
      </c>
      <c r="AG66" s="28">
        <f t="shared" si="10"/>
        <v>349045.30513319484</v>
      </c>
      <c r="AH66" s="27">
        <v>27882.129484518107</v>
      </c>
      <c r="AI66" s="27">
        <v>21877.579059155134</v>
      </c>
      <c r="AJ66" s="27">
        <v>36365.091419616008</v>
      </c>
      <c r="AK66" s="27">
        <v>47769.552968660304</v>
      </c>
      <c r="AL66" s="27">
        <v>29192.052430476211</v>
      </c>
      <c r="AM66" s="27">
        <v>32806.675516884476</v>
      </c>
      <c r="AN66" s="27">
        <v>22442.592595419635</v>
      </c>
      <c r="AO66" s="27">
        <v>19122.097547144505</v>
      </c>
      <c r="AP66" s="27">
        <v>16284.316368498001</v>
      </c>
      <c r="AQ66" s="27">
        <v>14015.128900166259</v>
      </c>
      <c r="AR66" s="27">
        <v>21616.647550431207</v>
      </c>
      <c r="AS66" s="27">
        <v>37749.665541881419</v>
      </c>
      <c r="AT66" s="28">
        <f t="shared" si="11"/>
        <v>327123.52938285127</v>
      </c>
      <c r="AU66" s="30">
        <f t="shared" si="16"/>
        <v>10.263236701756535</v>
      </c>
      <c r="AV66" s="30">
        <f t="shared" si="16"/>
        <v>10.263236701756556</v>
      </c>
      <c r="AW66" s="30">
        <f t="shared" si="16"/>
        <v>10.263236701756561</v>
      </c>
      <c r="AX66" s="30">
        <f t="shared" si="16"/>
        <v>10.263236701756551</v>
      </c>
      <c r="AY66" s="31">
        <f t="shared" si="16"/>
        <v>10.263236701756552</v>
      </c>
      <c r="AZ66" s="30">
        <f t="shared" si="16"/>
        <v>10.342816748973771</v>
      </c>
      <c r="BA66" s="30">
        <f t="shared" si="16"/>
        <v>10.342816748973778</v>
      </c>
      <c r="BB66" s="30">
        <f t="shared" si="16"/>
        <v>10.342816748973759</v>
      </c>
      <c r="BC66" s="30">
        <f t="shared" si="16"/>
        <v>10.342816748973782</v>
      </c>
      <c r="BD66" s="30">
        <f t="shared" si="16"/>
        <v>10.668626271017786</v>
      </c>
      <c r="BE66" s="30">
        <f t="shared" si="16"/>
        <v>10.756529418932734</v>
      </c>
      <c r="BF66" s="30">
        <f t="shared" si="16"/>
        <v>10.756529418932727</v>
      </c>
      <c r="BG66" s="30">
        <f t="shared" si="16"/>
        <v>10.756529418932725</v>
      </c>
      <c r="BH66" s="30">
        <f t="shared" si="16"/>
        <v>10.756529418932729</v>
      </c>
      <c r="BI66" s="30">
        <f t="shared" si="16"/>
        <v>10.756529418932734</v>
      </c>
      <c r="BJ66" s="30">
        <f t="shared" si="15"/>
        <v>10.756529418932724</v>
      </c>
      <c r="BK66" s="30">
        <f t="shared" si="13"/>
        <v>10.756529418932724</v>
      </c>
      <c r="BL66" s="31">
        <f t="shared" si="7"/>
        <v>10.575606152906646</v>
      </c>
    </row>
    <row r="67" spans="2:64" ht="15" x14ac:dyDescent="0.4">
      <c r="B67" t="s">
        <v>123</v>
      </c>
      <c r="C67" s="26">
        <v>53692</v>
      </c>
      <c r="D67" t="s">
        <v>122</v>
      </c>
      <c r="E67" t="s">
        <v>122</v>
      </c>
      <c r="F67" t="s">
        <v>109</v>
      </c>
      <c r="G67" t="s">
        <v>33</v>
      </c>
      <c r="H67" t="s">
        <v>34</v>
      </c>
      <c r="J67" s="27">
        <v>39058.747128644623</v>
      </c>
      <c r="K67" s="27">
        <v>33615.987512126965</v>
      </c>
      <c r="L67" s="27">
        <v>51848.610118792807</v>
      </c>
      <c r="M67" s="27">
        <v>90544.460524212744</v>
      </c>
      <c r="N67" s="28">
        <f t="shared" si="8"/>
        <v>215067.80528377712</v>
      </c>
      <c r="O67" s="27">
        <v>50335.39116165859</v>
      </c>
      <c r="P67" s="27">
        <v>39495.423053111779</v>
      </c>
      <c r="Q67" s="27">
        <v>65649.616262352894</v>
      </c>
      <c r="R67" s="27">
        <v>86238.001858151052</v>
      </c>
      <c r="S67" s="27">
        <v>51090.772205726476</v>
      </c>
      <c r="T67" s="27">
        <v>56947.726685160902</v>
      </c>
      <c r="U67" s="27">
        <v>38957.151527670074</v>
      </c>
      <c r="V67" s="27">
        <v>33193.243984789638</v>
      </c>
      <c r="W67" s="27">
        <v>28267.259123242697</v>
      </c>
      <c r="X67" s="27">
        <v>24328.272142454578</v>
      </c>
      <c r="Y67" s="27">
        <v>37523.428300982378</v>
      </c>
      <c r="Z67" s="27">
        <v>65528.054942016177</v>
      </c>
      <c r="AA67" s="28">
        <f t="shared" si="9"/>
        <v>577554.34124731726</v>
      </c>
      <c r="AB67" s="29"/>
      <c r="AC67" s="27">
        <v>555421.53524370689</v>
      </c>
      <c r="AD67" s="27">
        <v>478024.63635670446</v>
      </c>
      <c r="AE67" s="27">
        <v>737295.40114492655</v>
      </c>
      <c r="AF67" s="27">
        <v>1287556.4878344461</v>
      </c>
      <c r="AG67" s="28">
        <f t="shared" si="10"/>
        <v>3058298.0605797842</v>
      </c>
      <c r="AH67" s="27">
        <v>723911.30233400164</v>
      </c>
      <c r="AI67" s="27">
        <v>568013.52842945571</v>
      </c>
      <c r="AJ67" s="27">
        <v>944156.74755712727</v>
      </c>
      <c r="AK67" s="27">
        <v>1240253.8809188663</v>
      </c>
      <c r="AL67" s="27">
        <v>759476.81908750441</v>
      </c>
      <c r="AM67" s="27">
        <v>851768.62878654269</v>
      </c>
      <c r="AN67" s="27">
        <v>582683.1283644482</v>
      </c>
      <c r="AO67" s="27">
        <v>496472.21337227925</v>
      </c>
      <c r="AP67" s="27">
        <v>422794.12971250789</v>
      </c>
      <c r="AQ67" s="27">
        <v>363878.59901919548</v>
      </c>
      <c r="AR67" s="27">
        <v>561238.89278316393</v>
      </c>
      <c r="AS67" s="27">
        <v>980104.82163029385</v>
      </c>
      <c r="AT67" s="28">
        <f t="shared" si="11"/>
        <v>8494752.6919953879</v>
      </c>
      <c r="AU67" s="30">
        <f t="shared" si="16"/>
        <v>14.220157482634045</v>
      </c>
      <c r="AV67" s="30">
        <f t="shared" si="16"/>
        <v>14.220157482634033</v>
      </c>
      <c r="AW67" s="30">
        <f t="shared" si="16"/>
        <v>14.22015748263404</v>
      </c>
      <c r="AX67" s="30">
        <f t="shared" si="16"/>
        <v>14.220157482634038</v>
      </c>
      <c r="AY67" s="31">
        <f t="shared" si="16"/>
        <v>14.220157482634042</v>
      </c>
      <c r="AZ67" s="30">
        <f t="shared" si="16"/>
        <v>14.381755771184281</v>
      </c>
      <c r="BA67" s="30">
        <f t="shared" si="16"/>
        <v>14.381755771184299</v>
      </c>
      <c r="BB67" s="30">
        <f t="shared" si="16"/>
        <v>14.381755771184283</v>
      </c>
      <c r="BC67" s="30">
        <f t="shared" si="16"/>
        <v>14.3817557711843</v>
      </c>
      <c r="BD67" s="30">
        <f t="shared" si="16"/>
        <v>14.86524447172828</v>
      </c>
      <c r="BE67" s="30">
        <f t="shared" si="16"/>
        <v>14.95702600203164</v>
      </c>
      <c r="BF67" s="30">
        <f t="shared" si="16"/>
        <v>14.957026002031647</v>
      </c>
      <c r="BG67" s="30">
        <f t="shared" si="16"/>
        <v>14.957026002031649</v>
      </c>
      <c r="BH67" s="30">
        <f t="shared" si="16"/>
        <v>14.957026002031668</v>
      </c>
      <c r="BI67" s="30">
        <f t="shared" si="16"/>
        <v>14.957026002031654</v>
      </c>
      <c r="BJ67" s="30">
        <f t="shared" si="15"/>
        <v>14.957026002031656</v>
      </c>
      <c r="BK67" s="30">
        <f t="shared" si="13"/>
        <v>14.95702600203164</v>
      </c>
      <c r="BL67" s="31">
        <f t="shared" si="7"/>
        <v>14.708144472864086</v>
      </c>
    </row>
    <row r="68" spans="2:64" ht="15" x14ac:dyDescent="0.4">
      <c r="B68" t="s">
        <v>124</v>
      </c>
      <c r="C68" s="26" t="s">
        <v>125</v>
      </c>
      <c r="D68" t="s">
        <v>122</v>
      </c>
      <c r="E68" t="s">
        <v>122</v>
      </c>
      <c r="F68" t="s">
        <v>109</v>
      </c>
      <c r="G68" t="s">
        <v>20</v>
      </c>
      <c r="H68" t="s">
        <v>126</v>
      </c>
      <c r="J68" s="27">
        <v>0</v>
      </c>
      <c r="K68" s="27">
        <v>0</v>
      </c>
      <c r="L68" s="27">
        <v>0</v>
      </c>
      <c r="M68" s="27">
        <v>0</v>
      </c>
      <c r="N68" s="28">
        <f t="shared" si="8"/>
        <v>0</v>
      </c>
      <c r="O68" s="27">
        <v>0</v>
      </c>
      <c r="P68" s="27">
        <v>0</v>
      </c>
      <c r="Q68" s="27">
        <v>25365.220696027951</v>
      </c>
      <c r="R68" s="27">
        <v>20557.183314608854</v>
      </c>
      <c r="S68" s="27">
        <v>10080.212224206296</v>
      </c>
      <c r="T68" s="27">
        <v>7766.3223679373887</v>
      </c>
      <c r="U68" s="27">
        <v>7586.5953697664181</v>
      </c>
      <c r="V68" s="27">
        <v>7630.996310509192</v>
      </c>
      <c r="W68" s="27">
        <v>7600.6575296714227</v>
      </c>
      <c r="X68" s="27">
        <v>7992.8759273330279</v>
      </c>
      <c r="Y68" s="27">
        <v>8065.9430130113215</v>
      </c>
      <c r="Z68" s="27">
        <v>8103.1110861797079</v>
      </c>
      <c r="AA68" s="28">
        <f t="shared" si="9"/>
        <v>110749.11783925157</v>
      </c>
      <c r="AB68" s="29"/>
      <c r="AC68" s="27">
        <v>0</v>
      </c>
      <c r="AD68" s="27">
        <v>0</v>
      </c>
      <c r="AE68" s="27">
        <v>0</v>
      </c>
      <c r="AF68" s="27">
        <v>0</v>
      </c>
      <c r="AG68" s="28">
        <f t="shared" si="10"/>
        <v>0</v>
      </c>
      <c r="AH68" s="27">
        <v>0</v>
      </c>
      <c r="AI68" s="27">
        <v>0</v>
      </c>
      <c r="AJ68" s="27">
        <v>331634.01843886427</v>
      </c>
      <c r="AK68" s="27">
        <v>276921.99435307784</v>
      </c>
      <c r="AL68" s="27">
        <v>152100.42769383779</v>
      </c>
      <c r="AM68" s="27">
        <v>113838.35690904834</v>
      </c>
      <c r="AN68" s="27">
        <v>111386.21532839003</v>
      </c>
      <c r="AO68" s="27">
        <v>111946.41338630841</v>
      </c>
      <c r="AP68" s="27">
        <v>111373.44648855645</v>
      </c>
      <c r="AQ68" s="27">
        <v>116961.69605931676</v>
      </c>
      <c r="AR68" s="27">
        <v>118138.85178801318</v>
      </c>
      <c r="AS68" s="27">
        <v>118782.16282783257</v>
      </c>
      <c r="AT68" s="28">
        <f t="shared" si="11"/>
        <v>1563083.5832732457</v>
      </c>
      <c r="AU68" s="30">
        <f t="shared" si="16"/>
        <v>0</v>
      </c>
      <c r="AV68" s="30">
        <f t="shared" si="16"/>
        <v>0</v>
      </c>
      <c r="AW68" s="30">
        <f t="shared" si="16"/>
        <v>0</v>
      </c>
      <c r="AX68" s="30">
        <f t="shared" si="16"/>
        <v>0</v>
      </c>
      <c r="AY68" s="31">
        <f t="shared" si="16"/>
        <v>0</v>
      </c>
      <c r="AZ68" s="30">
        <f t="shared" si="16"/>
        <v>0</v>
      </c>
      <c r="BA68" s="30">
        <f t="shared" si="16"/>
        <v>0</v>
      </c>
      <c r="BB68" s="30">
        <f t="shared" si="16"/>
        <v>13.074359668031443</v>
      </c>
      <c r="BC68" s="30">
        <f t="shared" si="16"/>
        <v>13.470814075792411</v>
      </c>
      <c r="BD68" s="30">
        <f t="shared" si="16"/>
        <v>15.089010460373913</v>
      </c>
      <c r="BE68" s="30">
        <f t="shared" si="16"/>
        <v>14.657948964238267</v>
      </c>
      <c r="BF68" s="30">
        <f t="shared" si="16"/>
        <v>14.681976551995744</v>
      </c>
      <c r="BG68" s="30">
        <f t="shared" si="16"/>
        <v>14.669960360502204</v>
      </c>
      <c r="BH68" s="30">
        <f t="shared" si="16"/>
        <v>14.653133107731422</v>
      </c>
      <c r="BI68" s="30">
        <f t="shared" si="16"/>
        <v>14.633243043263805</v>
      </c>
      <c r="BJ68" s="30">
        <f t="shared" si="15"/>
        <v>14.646626141226292</v>
      </c>
      <c r="BK68" s="30">
        <f t="shared" si="13"/>
        <v>14.658834312468199</v>
      </c>
      <c r="BL68" s="31">
        <f t="shared" si="7"/>
        <v>14.113733940003081</v>
      </c>
    </row>
    <row r="69" spans="2:64" ht="15" x14ac:dyDescent="0.4">
      <c r="B69" t="s">
        <v>127</v>
      </c>
      <c r="C69" s="26">
        <v>53051</v>
      </c>
      <c r="D69" t="s">
        <v>128</v>
      </c>
      <c r="E69" t="s">
        <v>128</v>
      </c>
      <c r="F69" t="s">
        <v>53</v>
      </c>
      <c r="G69" t="s">
        <v>33</v>
      </c>
      <c r="H69" t="s">
        <v>34</v>
      </c>
      <c r="J69" s="27">
        <v>22734.989926834147</v>
      </c>
      <c r="K69" s="27">
        <v>13915.086648955923</v>
      </c>
      <c r="L69" s="27">
        <v>15361.312835459628</v>
      </c>
      <c r="M69" s="27">
        <v>10158.939242565035</v>
      </c>
      <c r="N69" s="28">
        <f t="shared" si="8"/>
        <v>62170.328653814729</v>
      </c>
      <c r="O69" s="27">
        <v>13405.988763332447</v>
      </c>
      <c r="P69" s="27">
        <v>13761.629237324052</v>
      </c>
      <c r="Q69" s="27">
        <v>23714.463720931541</v>
      </c>
      <c r="R69" s="27">
        <v>13067.344249866115</v>
      </c>
      <c r="S69" s="27">
        <v>14219.670373480505</v>
      </c>
      <c r="T69" s="27">
        <v>18008.069974566759</v>
      </c>
      <c r="U69" s="27">
        <v>17904.819514375642</v>
      </c>
      <c r="V69" s="27">
        <v>15912.043142785853</v>
      </c>
      <c r="W69" s="27">
        <v>17213.083920996498</v>
      </c>
      <c r="X69" s="27">
        <v>10535.371030611646</v>
      </c>
      <c r="Y69" s="27">
        <v>11630.335787453198</v>
      </c>
      <c r="Z69" s="27">
        <v>7691.5219357181668</v>
      </c>
      <c r="AA69" s="28">
        <f t="shared" si="9"/>
        <v>177064.34165144243</v>
      </c>
      <c r="AB69" s="29"/>
      <c r="AC69" s="27">
        <v>309214.62134949403</v>
      </c>
      <c r="AD69" s="27">
        <v>189256.65958284668</v>
      </c>
      <c r="AE69" s="27">
        <v>208926.52898171733</v>
      </c>
      <c r="AF69" s="27">
        <v>138169.95570754955</v>
      </c>
      <c r="AG69" s="28">
        <f t="shared" si="10"/>
        <v>845567.76562160766</v>
      </c>
      <c r="AH69" s="27">
        <v>180438.6147677784</v>
      </c>
      <c r="AI69" s="27">
        <v>185225.37653636371</v>
      </c>
      <c r="AJ69" s="27">
        <v>319186.07864787983</v>
      </c>
      <c r="AK69" s="27">
        <v>175880.61102875529</v>
      </c>
      <c r="AL69" s="27">
        <v>197524.94356900855</v>
      </c>
      <c r="AM69" s="27">
        <v>252075.79303133045</v>
      </c>
      <c r="AN69" s="27">
        <v>250630.49980055771</v>
      </c>
      <c r="AO69" s="27">
        <v>222735.74567576541</v>
      </c>
      <c r="AP69" s="27">
        <v>240947.62992525671</v>
      </c>
      <c r="AQ69" s="27">
        <v>147473.43891774424</v>
      </c>
      <c r="AR69" s="27">
        <v>162800.68441445846</v>
      </c>
      <c r="AS69" s="27">
        <v>107665.42412942155</v>
      </c>
      <c r="AT69" s="28">
        <f t="shared" si="11"/>
        <v>2442584.8404443203</v>
      </c>
      <c r="AU69" s="30">
        <f t="shared" ref="AU69:BI132" si="17">IFERROR(AC69/J69,0)</f>
        <v>13.6008250869963</v>
      </c>
      <c r="AV69" s="30">
        <f t="shared" si="17"/>
        <v>13.600825086996277</v>
      </c>
      <c r="AW69" s="30">
        <f t="shared" si="17"/>
        <v>13.600825086996284</v>
      </c>
      <c r="AX69" s="30">
        <f t="shared" si="17"/>
        <v>13.600825086996284</v>
      </c>
      <c r="AY69" s="31">
        <f t="shared" si="17"/>
        <v>13.60082508699629</v>
      </c>
      <c r="AZ69" s="30">
        <f t="shared" si="17"/>
        <v>13.459552887386216</v>
      </c>
      <c r="BA69" s="30">
        <f t="shared" si="17"/>
        <v>13.459552887386231</v>
      </c>
      <c r="BB69" s="30">
        <f t="shared" si="17"/>
        <v>13.459552887386218</v>
      </c>
      <c r="BC69" s="30">
        <f t="shared" si="17"/>
        <v>13.459552887386227</v>
      </c>
      <c r="BD69" s="30">
        <f t="shared" si="17"/>
        <v>13.89096500699411</v>
      </c>
      <c r="BE69" s="30">
        <f t="shared" si="17"/>
        <v>13.99793500288167</v>
      </c>
      <c r="BF69" s="30">
        <f t="shared" si="17"/>
        <v>13.997935002881677</v>
      </c>
      <c r="BG69" s="30">
        <f t="shared" si="17"/>
        <v>13.997935002881674</v>
      </c>
      <c r="BH69" s="30">
        <f t="shared" si="17"/>
        <v>13.997935002881681</v>
      </c>
      <c r="BI69" s="30">
        <f t="shared" si="17"/>
        <v>13.997935002881665</v>
      </c>
      <c r="BJ69" s="30">
        <f t="shared" si="15"/>
        <v>13.99793500288167</v>
      </c>
      <c r="BK69" s="30">
        <f t="shared" si="13"/>
        <v>13.997935002881675</v>
      </c>
      <c r="BL69" s="31">
        <f t="shared" si="13"/>
        <v>13.794899739060037</v>
      </c>
    </row>
    <row r="70" spans="2:64" ht="15" x14ac:dyDescent="0.4">
      <c r="B70" t="s">
        <v>129</v>
      </c>
      <c r="C70" s="26">
        <v>53904</v>
      </c>
      <c r="D70" t="s">
        <v>130</v>
      </c>
      <c r="E70" t="s">
        <v>130</v>
      </c>
      <c r="F70" t="s">
        <v>60</v>
      </c>
      <c r="G70" t="s">
        <v>33</v>
      </c>
      <c r="H70" t="s">
        <v>34</v>
      </c>
      <c r="J70" s="27">
        <v>2858.2773711293235</v>
      </c>
      <c r="K70" s="27">
        <v>1335.3122604503521</v>
      </c>
      <c r="L70" s="27">
        <v>1741.391690356847</v>
      </c>
      <c r="M70" s="27">
        <v>2171.8894055872092</v>
      </c>
      <c r="N70" s="28">
        <f t="shared" ref="N70:N133" si="18">SUM(J70:M70)</f>
        <v>8106.8707275237321</v>
      </c>
      <c r="O70" s="27">
        <v>4770.0683180520464</v>
      </c>
      <c r="P70" s="27">
        <v>5535.6860689703626</v>
      </c>
      <c r="Q70" s="27">
        <v>7368.8114969821017</v>
      </c>
      <c r="R70" s="27">
        <v>6564.2904050618399</v>
      </c>
      <c r="S70" s="27">
        <v>4802.7471244936833</v>
      </c>
      <c r="T70" s="27">
        <v>3544.8724320974006</v>
      </c>
      <c r="U70" s="27">
        <v>2920.3441312128139</v>
      </c>
      <c r="V70" s="27">
        <v>2911.0073293723458</v>
      </c>
      <c r="W70" s="27">
        <v>4432.387318155148</v>
      </c>
      <c r="X70" s="27">
        <v>2070.6951637302936</v>
      </c>
      <c r="Y70" s="27">
        <v>2700.410576748473</v>
      </c>
      <c r="Z70" s="27">
        <v>3367.9919083418822</v>
      </c>
      <c r="AA70" s="28">
        <f t="shared" ref="AA70:AA133" si="19">SUM(O70:Z70)</f>
        <v>50989.312273218384</v>
      </c>
      <c r="AB70" s="29"/>
      <c r="AC70" s="27">
        <v>56692.122405259819</v>
      </c>
      <c r="AD70" s="27">
        <v>26485.073451351338</v>
      </c>
      <c r="AE70" s="27">
        <v>34539.40190073524</v>
      </c>
      <c r="AF70" s="27">
        <v>43078.051583072214</v>
      </c>
      <c r="AG70" s="28">
        <f t="shared" ref="AG70:AG133" si="20">SUM(AC70:AF70)</f>
        <v>160794.64934041863</v>
      </c>
      <c r="AH70" s="27">
        <v>87150.946822956219</v>
      </c>
      <c r="AI70" s="27">
        <v>101139.07182411793</v>
      </c>
      <c r="AJ70" s="27">
        <v>134630.96461145228</v>
      </c>
      <c r="AK70" s="27">
        <v>119932.06090088196</v>
      </c>
      <c r="AL70" s="27">
        <v>91218.923655756327</v>
      </c>
      <c r="AM70" s="27">
        <v>67356.802241366458</v>
      </c>
      <c r="AN70" s="27">
        <v>55490.01999105842</v>
      </c>
      <c r="AO70" s="27">
        <v>55312.609625190016</v>
      </c>
      <c r="AP70" s="27">
        <v>84220.643130300916</v>
      </c>
      <c r="AQ70" s="27">
        <v>39345.676697034665</v>
      </c>
      <c r="AR70" s="27">
        <v>51311.020261714038</v>
      </c>
      <c r="AS70" s="27">
        <v>63995.861421304151</v>
      </c>
      <c r="AT70" s="28">
        <f t="shared" ref="AT70:AT133" si="21">SUM(AH70:AS70)</f>
        <v>951104.60118313332</v>
      </c>
      <c r="AU70" s="30">
        <f t="shared" si="17"/>
        <v>19.834367013464618</v>
      </c>
      <c r="AV70" s="30">
        <f t="shared" si="17"/>
        <v>19.834367013464618</v>
      </c>
      <c r="AW70" s="30">
        <f t="shared" si="17"/>
        <v>19.834367013464618</v>
      </c>
      <c r="AX70" s="30">
        <f t="shared" si="17"/>
        <v>19.834367013464615</v>
      </c>
      <c r="AY70" s="31">
        <f t="shared" si="17"/>
        <v>19.834367013464618</v>
      </c>
      <c r="AZ70" s="30">
        <f t="shared" si="17"/>
        <v>18.270377070520883</v>
      </c>
      <c r="BA70" s="30">
        <f t="shared" si="17"/>
        <v>18.270377070520869</v>
      </c>
      <c r="BB70" s="30">
        <f t="shared" si="17"/>
        <v>18.270377070520858</v>
      </c>
      <c r="BC70" s="30">
        <f t="shared" si="17"/>
        <v>18.270377070520865</v>
      </c>
      <c r="BD70" s="30">
        <f t="shared" si="17"/>
        <v>18.993072358639502</v>
      </c>
      <c r="BE70" s="30">
        <f t="shared" si="17"/>
        <v>19.001192153341705</v>
      </c>
      <c r="BF70" s="30">
        <f t="shared" si="17"/>
        <v>19.001192153341705</v>
      </c>
      <c r="BG70" s="30">
        <f t="shared" si="17"/>
        <v>19.001192153341709</v>
      </c>
      <c r="BH70" s="30">
        <f t="shared" si="17"/>
        <v>19.001192153341712</v>
      </c>
      <c r="BI70" s="30">
        <f t="shared" si="17"/>
        <v>19.001192153341702</v>
      </c>
      <c r="BJ70" s="30">
        <f t="shared" si="15"/>
        <v>19.001192153341709</v>
      </c>
      <c r="BK70" s="30">
        <f t="shared" si="13"/>
        <v>19.001192153341712</v>
      </c>
      <c r="BL70" s="31">
        <f t="shared" si="13"/>
        <v>18.653018814742698</v>
      </c>
    </row>
    <row r="71" spans="2:64" ht="15" x14ac:dyDescent="0.4">
      <c r="B71" t="s">
        <v>131</v>
      </c>
      <c r="C71" s="26">
        <v>53306</v>
      </c>
      <c r="D71" t="s">
        <v>132</v>
      </c>
      <c r="E71" t="s">
        <v>132</v>
      </c>
      <c r="F71" t="s">
        <v>133</v>
      </c>
      <c r="G71" t="s">
        <v>33</v>
      </c>
      <c r="H71" t="s">
        <v>34</v>
      </c>
      <c r="J71" s="27">
        <v>7198.2555268288197</v>
      </c>
      <c r="K71" s="27">
        <v>5105.9862898682932</v>
      </c>
      <c r="L71" s="27">
        <v>4453.3574813195928</v>
      </c>
      <c r="M71" s="27">
        <v>5823.0692000121771</v>
      </c>
      <c r="N71" s="28">
        <f t="shared" si="18"/>
        <v>22580.668498028885</v>
      </c>
      <c r="O71" s="27">
        <v>3454.4750990567118</v>
      </c>
      <c r="P71" s="27">
        <v>5831.4940180069971</v>
      </c>
      <c r="Q71" s="27">
        <v>9559.1413248381032</v>
      </c>
      <c r="R71" s="27">
        <v>5355.8798785603958</v>
      </c>
      <c r="S71" s="27">
        <v>9182.6090518098408</v>
      </c>
      <c r="T71" s="27">
        <v>9448.595800502424</v>
      </c>
      <c r="U71" s="27">
        <v>8874.9776860361908</v>
      </c>
      <c r="V71" s="27">
        <v>2412.7068441295214</v>
      </c>
      <c r="W71" s="27">
        <v>3912.2452759136918</v>
      </c>
      <c r="X71" s="27">
        <v>2775.0988648520024</v>
      </c>
      <c r="Y71" s="27">
        <v>2420.3957060583807</v>
      </c>
      <c r="Z71" s="27">
        <v>3164.8327687392407</v>
      </c>
      <c r="AA71" s="28">
        <f t="shared" si="19"/>
        <v>66392.452318503492</v>
      </c>
      <c r="AB71" s="29"/>
      <c r="AC71" s="27">
        <v>59872.007875008065</v>
      </c>
      <c r="AD71" s="27">
        <v>42469.408069395846</v>
      </c>
      <c r="AE71" s="27">
        <v>37041.121032453375</v>
      </c>
      <c r="AF71" s="27">
        <v>48433.796730391703</v>
      </c>
      <c r="AG71" s="28">
        <f t="shared" si="20"/>
        <v>187816.333707249</v>
      </c>
      <c r="AH71" s="27">
        <v>28088.303532695365</v>
      </c>
      <c r="AI71" s="27">
        <v>47415.821312941182</v>
      </c>
      <c r="AJ71" s="27">
        <v>77725.285418123764</v>
      </c>
      <c r="AK71" s="27">
        <v>43548.607357088498</v>
      </c>
      <c r="AL71" s="27">
        <v>77441.477308697897</v>
      </c>
      <c r="AM71" s="27">
        <v>79899.498464968376</v>
      </c>
      <c r="AN71" s="27">
        <v>75048.851805510887</v>
      </c>
      <c r="AO71" s="27">
        <v>20402.403791968183</v>
      </c>
      <c r="AP71" s="27">
        <v>33082.845537833782</v>
      </c>
      <c r="AQ71" s="27">
        <v>23466.874038636284</v>
      </c>
      <c r="AR71" s="27">
        <v>20467.422576224992</v>
      </c>
      <c r="AS71" s="27">
        <v>26762.553535660423</v>
      </c>
      <c r="AT71" s="28">
        <f t="shared" si="21"/>
        <v>553349.94468034955</v>
      </c>
      <c r="AU71" s="30">
        <f t="shared" si="17"/>
        <v>8.3175718966709962</v>
      </c>
      <c r="AV71" s="30">
        <f t="shared" si="17"/>
        <v>8.317571896670982</v>
      </c>
      <c r="AW71" s="30">
        <f t="shared" si="17"/>
        <v>8.3175718966709962</v>
      </c>
      <c r="AX71" s="30">
        <f t="shared" si="17"/>
        <v>8.3175718966709891</v>
      </c>
      <c r="AY71" s="31">
        <f t="shared" si="17"/>
        <v>8.3175718966709908</v>
      </c>
      <c r="AZ71" s="30">
        <f t="shared" si="17"/>
        <v>8.1309903030898187</v>
      </c>
      <c r="BA71" s="30">
        <f t="shared" si="17"/>
        <v>8.1309903030898187</v>
      </c>
      <c r="BB71" s="30">
        <f t="shared" si="17"/>
        <v>8.130990303089817</v>
      </c>
      <c r="BC71" s="30">
        <f t="shared" si="17"/>
        <v>8.1309903030898276</v>
      </c>
      <c r="BD71" s="30">
        <f t="shared" si="17"/>
        <v>8.4334938873864633</v>
      </c>
      <c r="BE71" s="30">
        <f t="shared" si="17"/>
        <v>8.4562299152134077</v>
      </c>
      <c r="BF71" s="30">
        <f t="shared" si="17"/>
        <v>8.456229915213429</v>
      </c>
      <c r="BG71" s="30">
        <f t="shared" si="17"/>
        <v>8.4562299152134042</v>
      </c>
      <c r="BH71" s="30">
        <f t="shared" si="17"/>
        <v>8.4562299152134308</v>
      </c>
      <c r="BI71" s="30">
        <f t="shared" si="17"/>
        <v>8.4562299152134113</v>
      </c>
      <c r="BJ71" s="30">
        <f t="shared" si="15"/>
        <v>8.4562299152134219</v>
      </c>
      <c r="BK71" s="30">
        <f t="shared" si="13"/>
        <v>8.4562299152134006</v>
      </c>
      <c r="BL71" s="31">
        <f t="shared" si="13"/>
        <v>8.3345308895320258</v>
      </c>
    </row>
    <row r="72" spans="2:64" ht="15" x14ac:dyDescent="0.4">
      <c r="B72" t="s">
        <v>134</v>
      </c>
      <c r="C72" s="26">
        <v>53312</v>
      </c>
      <c r="D72" t="s">
        <v>132</v>
      </c>
      <c r="E72" t="s">
        <v>132</v>
      </c>
      <c r="F72" t="s">
        <v>133</v>
      </c>
      <c r="G72" t="s">
        <v>33</v>
      </c>
      <c r="H72" t="s">
        <v>34</v>
      </c>
      <c r="J72" s="27">
        <v>5207.7694325918537</v>
      </c>
      <c r="K72" s="27">
        <v>3694.0615993002507</v>
      </c>
      <c r="L72" s="27">
        <v>3221.8999280006997</v>
      </c>
      <c r="M72" s="27">
        <v>4212.8543048610327</v>
      </c>
      <c r="N72" s="28">
        <f t="shared" si="18"/>
        <v>16336.585264753838</v>
      </c>
      <c r="O72" s="27">
        <v>2712.7435646452441</v>
      </c>
      <c r="P72" s="27">
        <v>4579.3781735278371</v>
      </c>
      <c r="Q72" s="27">
        <v>7506.6394658829331</v>
      </c>
      <c r="R72" s="27">
        <v>4205.8860628478815</v>
      </c>
      <c r="S72" s="27">
        <v>7210.9547464250936</v>
      </c>
      <c r="T72" s="27">
        <v>7419.8298490401785</v>
      </c>
      <c r="U72" s="27">
        <v>6969.3767978640171</v>
      </c>
      <c r="V72" s="27">
        <v>1894.6597607767119</v>
      </c>
      <c r="W72" s="27">
        <v>3072.2230993781454</v>
      </c>
      <c r="X72" s="27">
        <v>2179.2403682218587</v>
      </c>
      <c r="Y72" s="27">
        <v>1900.6977000059305</v>
      </c>
      <c r="Z72" s="27">
        <v>2485.2921154128749</v>
      </c>
      <c r="AA72" s="28">
        <f t="shared" si="19"/>
        <v>52136.921704028711</v>
      </c>
      <c r="AB72" s="29"/>
      <c r="AC72" s="27">
        <v>55783.456993046122</v>
      </c>
      <c r="AD72" s="27">
        <v>39569.249180770821</v>
      </c>
      <c r="AE72" s="27">
        <v>34511.650025196373</v>
      </c>
      <c r="AF72" s="27">
        <v>45126.340552335794</v>
      </c>
      <c r="AG72" s="28">
        <f t="shared" si="20"/>
        <v>174990.69675134911</v>
      </c>
      <c r="AH72" s="27">
        <v>28275.836362873128</v>
      </c>
      <c r="AI72" s="27">
        <v>47732.395190593437</v>
      </c>
      <c r="AJ72" s="27">
        <v>78244.221805074601</v>
      </c>
      <c r="AK72" s="27">
        <v>43839.361605684084</v>
      </c>
      <c r="AL72" s="27">
        <v>77766.131668171467</v>
      </c>
      <c r="AM72" s="27">
        <v>80432.951083759617</v>
      </c>
      <c r="AN72" s="27">
        <v>75549.918862276871</v>
      </c>
      <c r="AO72" s="27">
        <v>20538.621364563278</v>
      </c>
      <c r="AP72" s="27">
        <v>33303.724653826706</v>
      </c>
      <c r="AQ72" s="27">
        <v>23623.551685570965</v>
      </c>
      <c r="AR72" s="27">
        <v>20604.074249676712</v>
      </c>
      <c r="AS72" s="27">
        <v>26941.234935962308</v>
      </c>
      <c r="AT72" s="28">
        <f t="shared" si="21"/>
        <v>556852.02346803329</v>
      </c>
      <c r="AU72" s="30">
        <f t="shared" si="17"/>
        <v>10.711583474478681</v>
      </c>
      <c r="AV72" s="30">
        <f t="shared" si="17"/>
        <v>10.711583474478672</v>
      </c>
      <c r="AW72" s="30">
        <f t="shared" si="17"/>
        <v>10.711583474478688</v>
      </c>
      <c r="AX72" s="30">
        <f t="shared" si="17"/>
        <v>10.711583474478678</v>
      </c>
      <c r="AY72" s="31">
        <f t="shared" si="17"/>
        <v>10.71158347447868</v>
      </c>
      <c r="AZ72" s="30">
        <f t="shared" si="17"/>
        <v>10.4233355232642</v>
      </c>
      <c r="BA72" s="30">
        <f t="shared" si="17"/>
        <v>10.4233355232642</v>
      </c>
      <c r="BB72" s="30">
        <f t="shared" si="17"/>
        <v>10.423335523264203</v>
      </c>
      <c r="BC72" s="30">
        <f t="shared" si="17"/>
        <v>10.423335523264189</v>
      </c>
      <c r="BD72" s="30">
        <f t="shared" si="17"/>
        <v>10.784443170541993</v>
      </c>
      <c r="BE72" s="30">
        <f t="shared" si="17"/>
        <v>10.84026894419477</v>
      </c>
      <c r="BF72" s="30">
        <f t="shared" si="17"/>
        <v>10.840268944194767</v>
      </c>
      <c r="BG72" s="30">
        <f t="shared" si="17"/>
        <v>10.840268944194769</v>
      </c>
      <c r="BH72" s="30">
        <f t="shared" si="17"/>
        <v>10.840268944194769</v>
      </c>
      <c r="BI72" s="30">
        <f t="shared" si="17"/>
        <v>10.840268944194758</v>
      </c>
      <c r="BJ72" s="30">
        <f t="shared" si="15"/>
        <v>10.840268944194769</v>
      </c>
      <c r="BK72" s="30">
        <f t="shared" si="13"/>
        <v>10.840268944194769</v>
      </c>
      <c r="BL72" s="31">
        <f t="shared" si="13"/>
        <v>10.680569647536448</v>
      </c>
    </row>
    <row r="73" spans="2:64" ht="15" x14ac:dyDescent="0.4">
      <c r="B73" t="s">
        <v>135</v>
      </c>
      <c r="C73" s="26">
        <v>53315</v>
      </c>
      <c r="D73" t="s">
        <v>132</v>
      </c>
      <c r="E73" t="s">
        <v>132</v>
      </c>
      <c r="F73" t="s">
        <v>133</v>
      </c>
      <c r="G73" t="s">
        <v>33</v>
      </c>
      <c r="H73" t="s">
        <v>34</v>
      </c>
      <c r="J73" s="27">
        <v>8826.9953129724072</v>
      </c>
      <c r="K73" s="27">
        <v>6261.3110747159708</v>
      </c>
      <c r="L73" s="27">
        <v>5461.0128062398053</v>
      </c>
      <c r="M73" s="27">
        <v>7140.6473893634784</v>
      </c>
      <c r="N73" s="28">
        <f t="shared" si="18"/>
        <v>27689.966583291662</v>
      </c>
      <c r="O73" s="27">
        <v>2997.6200340988485</v>
      </c>
      <c r="P73" s="27">
        <v>5060.2776965677531</v>
      </c>
      <c r="Q73" s="27">
        <v>8294.9428559903081</v>
      </c>
      <c r="R73" s="27">
        <v>4647.5636279976479</v>
      </c>
      <c r="S73" s="27">
        <v>7968.2070559775975</v>
      </c>
      <c r="T73" s="27">
        <v>8199.017000707956</v>
      </c>
      <c r="U73" s="27">
        <v>7701.2600036129516</v>
      </c>
      <c r="V73" s="27">
        <v>2093.6258519695079</v>
      </c>
      <c r="W73" s="27">
        <v>3394.8500079186533</v>
      </c>
      <c r="X73" s="27">
        <v>2408.0914510447187</v>
      </c>
      <c r="Y73" s="27">
        <v>2100.2978602765488</v>
      </c>
      <c r="Z73" s="27">
        <v>2746.2829634336631</v>
      </c>
      <c r="AA73" s="28">
        <f t="shared" si="19"/>
        <v>57612.036409596156</v>
      </c>
      <c r="AB73" s="29"/>
      <c r="AC73" s="27">
        <v>73533.89714287383</v>
      </c>
      <c r="AD73" s="27">
        <v>52160.28651007171</v>
      </c>
      <c r="AE73" s="27">
        <v>45493.346235246849</v>
      </c>
      <c r="AF73" s="27">
        <v>59485.658714615216</v>
      </c>
      <c r="AG73" s="28">
        <f t="shared" si="20"/>
        <v>230673.18860280758</v>
      </c>
      <c r="AH73" s="27">
        <v>25034.513629116871</v>
      </c>
      <c r="AI73" s="27">
        <v>42260.723347455525</v>
      </c>
      <c r="AJ73" s="27">
        <v>69274.910635384236</v>
      </c>
      <c r="AK73" s="27">
        <v>38813.95696044989</v>
      </c>
      <c r="AL73" s="27">
        <v>69044.51394701736</v>
      </c>
      <c r="AM73" s="27">
        <v>71212.7409529211</v>
      </c>
      <c r="AN73" s="27">
        <v>66889.461700229032</v>
      </c>
      <c r="AO73" s="27">
        <v>18184.232992292818</v>
      </c>
      <c r="AP73" s="27">
        <v>29486.0437741571</v>
      </c>
      <c r="AQ73" s="27">
        <v>20915.530810508644</v>
      </c>
      <c r="AR73" s="27">
        <v>18242.182865937903</v>
      </c>
      <c r="AS73" s="27">
        <v>23852.900566194097</v>
      </c>
      <c r="AT73" s="28">
        <f t="shared" si="21"/>
        <v>493211.71218166454</v>
      </c>
      <c r="AU73" s="30">
        <f t="shared" si="17"/>
        <v>8.3305694107264667</v>
      </c>
      <c r="AV73" s="30">
        <f t="shared" si="17"/>
        <v>8.330569410726465</v>
      </c>
      <c r="AW73" s="30">
        <f t="shared" si="17"/>
        <v>8.3305694107264721</v>
      </c>
      <c r="AX73" s="30">
        <f t="shared" si="17"/>
        <v>8.3305694107264703</v>
      </c>
      <c r="AY73" s="31">
        <f t="shared" si="17"/>
        <v>8.3305694107264667</v>
      </c>
      <c r="AZ73" s="30">
        <f t="shared" si="17"/>
        <v>8.3514632756458766</v>
      </c>
      <c r="BA73" s="30">
        <f t="shared" si="17"/>
        <v>8.351463275645882</v>
      </c>
      <c r="BB73" s="30">
        <f t="shared" si="17"/>
        <v>8.3514632756458838</v>
      </c>
      <c r="BC73" s="30">
        <f t="shared" si="17"/>
        <v>8.3514632756458802</v>
      </c>
      <c r="BD73" s="30">
        <f t="shared" si="17"/>
        <v>8.6649999757751619</v>
      </c>
      <c r="BE73" s="30">
        <f t="shared" si="17"/>
        <v>8.6855218066717192</v>
      </c>
      <c r="BF73" s="30">
        <f t="shared" si="17"/>
        <v>8.685521806671721</v>
      </c>
      <c r="BG73" s="30">
        <f t="shared" si="17"/>
        <v>8.6855218066717192</v>
      </c>
      <c r="BH73" s="30">
        <f t="shared" si="17"/>
        <v>8.6855218066717121</v>
      </c>
      <c r="BI73" s="30">
        <f t="shared" si="17"/>
        <v>8.6855218066717175</v>
      </c>
      <c r="BJ73" s="30">
        <f t="shared" si="15"/>
        <v>8.6855218066717121</v>
      </c>
      <c r="BK73" s="30">
        <f t="shared" si="13"/>
        <v>8.6855218066717139</v>
      </c>
      <c r="BL73" s="31">
        <f t="shared" si="13"/>
        <v>8.5609144012051051</v>
      </c>
    </row>
    <row r="74" spans="2:64" ht="15" x14ac:dyDescent="0.4">
      <c r="B74" t="s">
        <v>136</v>
      </c>
      <c r="C74" s="26">
        <v>50360</v>
      </c>
      <c r="D74" t="s">
        <v>137</v>
      </c>
      <c r="E74" t="s">
        <v>137</v>
      </c>
      <c r="F74" t="s">
        <v>109</v>
      </c>
      <c r="G74" t="s">
        <v>33</v>
      </c>
      <c r="H74" t="s">
        <v>34</v>
      </c>
      <c r="J74" s="27">
        <v>11263.188627558382</v>
      </c>
      <c r="K74" s="27">
        <v>22681.715099545225</v>
      </c>
      <c r="L74" s="27">
        <v>21925.339287828239</v>
      </c>
      <c r="M74" s="27">
        <v>13637.866136487683</v>
      </c>
      <c r="N74" s="28">
        <f t="shared" si="18"/>
        <v>69508.109151419529</v>
      </c>
      <c r="O74" s="27">
        <v>24356.002682998402</v>
      </c>
      <c r="P74" s="27">
        <v>21984.384524211411</v>
      </c>
      <c r="Q74" s="27">
        <v>32863.538067966765</v>
      </c>
      <c r="R74" s="27">
        <v>20204.29907601501</v>
      </c>
      <c r="S74" s="27">
        <v>16001.563426281175</v>
      </c>
      <c r="T74" s="27">
        <v>18908.743668126004</v>
      </c>
      <c r="U74" s="27">
        <v>10906.590125879242</v>
      </c>
      <c r="V74" s="27">
        <v>11477.819765698134</v>
      </c>
      <c r="W74" s="27">
        <v>15517.033385973707</v>
      </c>
      <c r="X74" s="27">
        <v>31248.072112513546</v>
      </c>
      <c r="Y74" s="27">
        <v>30206.030723449134</v>
      </c>
      <c r="Z74" s="27">
        <v>18788.571438423493</v>
      </c>
      <c r="AA74" s="28">
        <f t="shared" si="19"/>
        <v>252462.64899753607</v>
      </c>
      <c r="AB74" s="29"/>
      <c r="AC74" s="27">
        <v>141633.42391777976</v>
      </c>
      <c r="AD74" s="27">
        <v>285220.20505063655</v>
      </c>
      <c r="AE74" s="27">
        <v>275708.85799568711</v>
      </c>
      <c r="AF74" s="27">
        <v>171494.74626723191</v>
      </c>
      <c r="AG74" s="28">
        <f t="shared" si="20"/>
        <v>874057.2332313353</v>
      </c>
      <c r="AH74" s="27">
        <v>308873.92883159529</v>
      </c>
      <c r="AI74" s="27">
        <v>278797.93368875416</v>
      </c>
      <c r="AJ74" s="27">
        <v>416763.38479980768</v>
      </c>
      <c r="AK74" s="27">
        <v>256223.54029602447</v>
      </c>
      <c r="AL74" s="27">
        <v>208632.48956790959</v>
      </c>
      <c r="AM74" s="27">
        <v>249385.53107178523</v>
      </c>
      <c r="AN74" s="27">
        <v>143845.92749594609</v>
      </c>
      <c r="AO74" s="27">
        <v>151379.81814412895</v>
      </c>
      <c r="AP74" s="27">
        <v>204652.60302527488</v>
      </c>
      <c r="AQ74" s="27">
        <v>412127.70110606489</v>
      </c>
      <c r="AR74" s="27">
        <v>398384.32133574889</v>
      </c>
      <c r="AS74" s="27">
        <v>247800.59154061155</v>
      </c>
      <c r="AT74" s="28">
        <f t="shared" si="21"/>
        <v>3276867.7709036516</v>
      </c>
      <c r="AU74" s="30">
        <f t="shared" si="17"/>
        <v>12.574895848874977</v>
      </c>
      <c r="AV74" s="30">
        <f t="shared" si="17"/>
        <v>12.574895848874995</v>
      </c>
      <c r="AW74" s="30">
        <f t="shared" si="17"/>
        <v>12.574895848874993</v>
      </c>
      <c r="AX74" s="30">
        <f t="shared" si="17"/>
        <v>12.574895848875002</v>
      </c>
      <c r="AY74" s="31">
        <f t="shared" si="17"/>
        <v>12.574895848874993</v>
      </c>
      <c r="AZ74" s="30">
        <f t="shared" si="17"/>
        <v>12.681634702200265</v>
      </c>
      <c r="BA74" s="30">
        <f t="shared" si="17"/>
        <v>12.681634702200277</v>
      </c>
      <c r="BB74" s="30">
        <f t="shared" si="17"/>
        <v>12.681634702200293</v>
      </c>
      <c r="BC74" s="30">
        <f t="shared" si="17"/>
        <v>12.681634702200254</v>
      </c>
      <c r="BD74" s="30">
        <f t="shared" si="17"/>
        <v>13.03825657593238</v>
      </c>
      <c r="BE74" s="30">
        <f t="shared" si="17"/>
        <v>13.188900090288293</v>
      </c>
      <c r="BF74" s="30">
        <f t="shared" si="17"/>
        <v>13.188900090288289</v>
      </c>
      <c r="BG74" s="30">
        <f t="shared" si="17"/>
        <v>13.1889000902883</v>
      </c>
      <c r="BH74" s="30">
        <f t="shared" si="17"/>
        <v>13.188900090288278</v>
      </c>
      <c r="BI74" s="30">
        <f t="shared" si="17"/>
        <v>13.188900090288289</v>
      </c>
      <c r="BJ74" s="30">
        <f t="shared" si="15"/>
        <v>13.188900090288282</v>
      </c>
      <c r="BK74" s="30">
        <f t="shared" si="13"/>
        <v>13.188900090288287</v>
      </c>
      <c r="BL74" s="31">
        <f t="shared" si="13"/>
        <v>12.979614148529482</v>
      </c>
    </row>
    <row r="75" spans="2:64" ht="15" x14ac:dyDescent="0.4">
      <c r="B75" t="s">
        <v>138</v>
      </c>
      <c r="C75" s="26">
        <v>53232</v>
      </c>
      <c r="D75" t="s">
        <v>139</v>
      </c>
      <c r="E75" t="s">
        <v>139</v>
      </c>
      <c r="F75" t="s">
        <v>60</v>
      </c>
      <c r="G75" t="s">
        <v>33</v>
      </c>
      <c r="H75" t="s">
        <v>34</v>
      </c>
      <c r="J75" s="27">
        <v>203.45720333566936</v>
      </c>
      <c r="K75" s="27">
        <v>153.74856823329878</v>
      </c>
      <c r="L75" s="27">
        <v>215.76429294434823</v>
      </c>
      <c r="M75" s="27">
        <v>159.81206116245264</v>
      </c>
      <c r="N75" s="28">
        <f t="shared" si="18"/>
        <v>732.78212567576907</v>
      </c>
      <c r="O75" s="27">
        <v>441.78837697133429</v>
      </c>
      <c r="P75" s="27">
        <v>248.06641138187803</v>
      </c>
      <c r="Q75" s="27">
        <v>354.27783558500818</v>
      </c>
      <c r="R75" s="27">
        <v>413.25754293031287</v>
      </c>
      <c r="S75" s="27">
        <v>275.63822579126855</v>
      </c>
      <c r="T75" s="27">
        <v>284.18948417331137</v>
      </c>
      <c r="U75" s="27">
        <v>246.06845381598009</v>
      </c>
      <c r="V75" s="27">
        <v>238.5561333682042</v>
      </c>
      <c r="W75" s="27">
        <v>270.84312763311362</v>
      </c>
      <c r="X75" s="27">
        <v>204.67077305057651</v>
      </c>
      <c r="Y75" s="27">
        <v>287.226379673476</v>
      </c>
      <c r="Z75" s="27">
        <v>212.74252161680391</v>
      </c>
      <c r="AA75" s="28">
        <f t="shared" si="19"/>
        <v>3477.3252659912678</v>
      </c>
      <c r="AB75" s="29"/>
      <c r="AC75" s="27">
        <v>21250.623522145739</v>
      </c>
      <c r="AD75" s="27">
        <v>16058.67419304079</v>
      </c>
      <c r="AE75" s="27">
        <v>22536.069914013508</v>
      </c>
      <c r="AF75" s="27">
        <v>16691.991683668315</v>
      </c>
      <c r="AG75" s="28">
        <f t="shared" si="20"/>
        <v>76537.359312868342</v>
      </c>
      <c r="AH75" s="27">
        <v>56955.9749254692</v>
      </c>
      <c r="AI75" s="27">
        <v>31981.068409670122</v>
      </c>
      <c r="AJ75" s="27">
        <v>45673.993640485714</v>
      </c>
      <c r="AK75" s="27">
        <v>53277.739931186923</v>
      </c>
      <c r="AL75" s="27">
        <v>35837.215515805343</v>
      </c>
      <c r="AM75" s="27">
        <v>38103.629650572948</v>
      </c>
      <c r="AN75" s="27">
        <v>32992.428485408906</v>
      </c>
      <c r="AO75" s="27">
        <v>31985.189681372402</v>
      </c>
      <c r="AP75" s="27">
        <v>36314.173477444245</v>
      </c>
      <c r="AQ75" s="27">
        <v>27441.89975678215</v>
      </c>
      <c r="AR75" s="27">
        <v>38510.811294757921</v>
      </c>
      <c r="AS75" s="27">
        <v>28524.145705800103</v>
      </c>
      <c r="AT75" s="28">
        <f t="shared" si="21"/>
        <v>457598.27047475596</v>
      </c>
      <c r="AU75" s="30">
        <f t="shared" si="17"/>
        <v>104.44763406624571</v>
      </c>
      <c r="AV75" s="30">
        <f t="shared" si="17"/>
        <v>104.44763406624564</v>
      </c>
      <c r="AW75" s="30">
        <f t="shared" si="17"/>
        <v>104.44763406624563</v>
      </c>
      <c r="AX75" s="30">
        <f t="shared" si="17"/>
        <v>104.44763406624561</v>
      </c>
      <c r="AY75" s="31">
        <f t="shared" si="17"/>
        <v>104.44763406624563</v>
      </c>
      <c r="AZ75" s="30">
        <f t="shared" si="17"/>
        <v>128.92139742545746</v>
      </c>
      <c r="BA75" s="30">
        <f t="shared" si="17"/>
        <v>128.92139742545746</v>
      </c>
      <c r="BB75" s="30">
        <f t="shared" si="17"/>
        <v>128.92139742545746</v>
      </c>
      <c r="BC75" s="30">
        <f t="shared" si="17"/>
        <v>128.92139742545749</v>
      </c>
      <c r="BD75" s="30">
        <f t="shared" si="17"/>
        <v>130.0154048406321</v>
      </c>
      <c r="BE75" s="30">
        <f t="shared" si="17"/>
        <v>134.07825332247572</v>
      </c>
      <c r="BF75" s="30">
        <f t="shared" si="17"/>
        <v>134.07825332247575</v>
      </c>
      <c r="BG75" s="30">
        <f t="shared" si="17"/>
        <v>134.07825332247577</v>
      </c>
      <c r="BH75" s="30">
        <f t="shared" si="17"/>
        <v>134.07825332247577</v>
      </c>
      <c r="BI75" s="30">
        <f t="shared" si="17"/>
        <v>134.0782533224758</v>
      </c>
      <c r="BJ75" s="30">
        <f t="shared" si="15"/>
        <v>134.07825332247577</v>
      </c>
      <c r="BK75" s="30">
        <f t="shared" si="13"/>
        <v>134.07825332247572</v>
      </c>
      <c r="BL75" s="31">
        <f t="shared" si="13"/>
        <v>131.59489995087077</v>
      </c>
    </row>
    <row r="76" spans="2:64" ht="15" x14ac:dyDescent="0.4">
      <c r="B76" t="s">
        <v>140</v>
      </c>
      <c r="C76" s="26">
        <v>53422</v>
      </c>
      <c r="D76" t="s">
        <v>139</v>
      </c>
      <c r="E76" t="s">
        <v>139</v>
      </c>
      <c r="F76" t="s">
        <v>60</v>
      </c>
      <c r="G76" t="s">
        <v>33</v>
      </c>
      <c r="H76" t="s">
        <v>34</v>
      </c>
      <c r="J76" s="27">
        <v>614.12908588393543</v>
      </c>
      <c r="K76" s="27">
        <v>464.08515460276141</v>
      </c>
      <c r="L76" s="27">
        <v>651.27764374944343</v>
      </c>
      <c r="M76" s="27">
        <v>482.38761481942623</v>
      </c>
      <c r="N76" s="28">
        <f t="shared" si="18"/>
        <v>2211.8794990555666</v>
      </c>
      <c r="O76" s="27">
        <v>983.68290173903006</v>
      </c>
      <c r="P76" s="27">
        <v>552.34293180136592</v>
      </c>
      <c r="Q76" s="27">
        <v>788.8325440320416</v>
      </c>
      <c r="R76" s="27">
        <v>920.15634676058778</v>
      </c>
      <c r="S76" s="27">
        <v>613.73414039397937</v>
      </c>
      <c r="T76" s="27">
        <v>632.77431233429638</v>
      </c>
      <c r="U76" s="27">
        <v>547.89429349755335</v>
      </c>
      <c r="V76" s="27">
        <v>531.16741347521827</v>
      </c>
      <c r="W76" s="27">
        <v>603.05740846482922</v>
      </c>
      <c r="X76" s="27">
        <v>455.71850784255736</v>
      </c>
      <c r="Y76" s="27">
        <v>639.53624255609179</v>
      </c>
      <c r="Z76" s="27">
        <v>473.69100658995995</v>
      </c>
      <c r="AA76" s="28">
        <f t="shared" si="19"/>
        <v>7742.5880494875109</v>
      </c>
      <c r="AB76" s="29"/>
      <c r="AC76" s="27">
        <v>34425.131376044017</v>
      </c>
      <c r="AD76" s="27">
        <v>26014.388154042124</v>
      </c>
      <c r="AE76" s="27">
        <v>36507.501376660439</v>
      </c>
      <c r="AF76" s="27">
        <v>27040.336300687282</v>
      </c>
      <c r="AG76" s="28">
        <f t="shared" si="20"/>
        <v>123987.35720743386</v>
      </c>
      <c r="AH76" s="27">
        <v>52413.459384786584</v>
      </c>
      <c r="AI76" s="27">
        <v>29430.422925176845</v>
      </c>
      <c r="AJ76" s="27">
        <v>42031.270885086662</v>
      </c>
      <c r="AK76" s="27">
        <v>49028.581490363904</v>
      </c>
      <c r="AL76" s="27">
        <v>33757.920143249503</v>
      </c>
      <c r="AM76" s="27">
        <v>35064.680180027717</v>
      </c>
      <c r="AN76" s="27">
        <v>30361.122124382808</v>
      </c>
      <c r="AO76" s="27">
        <v>29434.215505450728</v>
      </c>
      <c r="AP76" s="27">
        <v>33417.941825116402</v>
      </c>
      <c r="AQ76" s="27">
        <v>25253.275011544141</v>
      </c>
      <c r="AR76" s="27">
        <v>35439.387111085372</v>
      </c>
      <c r="AS76" s="27">
        <v>26249.206591460552</v>
      </c>
      <c r="AT76" s="28">
        <f t="shared" si="21"/>
        <v>421881.48317773122</v>
      </c>
      <c r="AU76" s="30">
        <f t="shared" si="17"/>
        <v>56.055204300403453</v>
      </c>
      <c r="AV76" s="30">
        <f t="shared" si="17"/>
        <v>56.055204300403481</v>
      </c>
      <c r="AW76" s="30">
        <f t="shared" si="17"/>
        <v>56.055204300403467</v>
      </c>
      <c r="AX76" s="30">
        <f t="shared" si="17"/>
        <v>56.055204300403489</v>
      </c>
      <c r="AY76" s="31">
        <f t="shared" si="17"/>
        <v>56.055204300403467</v>
      </c>
      <c r="AZ76" s="30">
        <f t="shared" si="17"/>
        <v>53.282881396155254</v>
      </c>
      <c r="BA76" s="30">
        <f t="shared" si="17"/>
        <v>53.282881396155247</v>
      </c>
      <c r="BB76" s="30">
        <f t="shared" si="17"/>
        <v>53.282881396155219</v>
      </c>
      <c r="BC76" s="30">
        <f t="shared" si="17"/>
        <v>53.282881396155254</v>
      </c>
      <c r="BD76" s="30">
        <f t="shared" si="17"/>
        <v>55.004142545466031</v>
      </c>
      <c r="BE76" s="30">
        <f t="shared" si="17"/>
        <v>55.4141966520015</v>
      </c>
      <c r="BF76" s="30">
        <f t="shared" si="17"/>
        <v>55.414196652001429</v>
      </c>
      <c r="BG76" s="30">
        <f t="shared" si="17"/>
        <v>55.414196652001486</v>
      </c>
      <c r="BH76" s="30">
        <f t="shared" si="17"/>
        <v>55.414196652001436</v>
      </c>
      <c r="BI76" s="30">
        <f t="shared" si="17"/>
        <v>55.414196652001458</v>
      </c>
      <c r="BJ76" s="30">
        <f t="shared" si="15"/>
        <v>55.414196652001458</v>
      </c>
      <c r="BK76" s="30">
        <f t="shared" si="13"/>
        <v>55.414196652001444</v>
      </c>
      <c r="BL76" s="31">
        <f t="shared" si="13"/>
        <v>54.488432095474323</v>
      </c>
    </row>
    <row r="77" spans="2:64" ht="15" x14ac:dyDescent="0.4">
      <c r="B77" t="s">
        <v>141</v>
      </c>
      <c r="C77" s="26">
        <v>51600</v>
      </c>
      <c r="D77" t="s">
        <v>139</v>
      </c>
      <c r="E77" t="s">
        <v>139</v>
      </c>
      <c r="F77" t="s">
        <v>60</v>
      </c>
      <c r="G77" t="s">
        <v>33</v>
      </c>
      <c r="H77" t="s">
        <v>34</v>
      </c>
      <c r="J77" s="27">
        <v>318.85504282707939</v>
      </c>
      <c r="K77" s="27">
        <v>240.95242392450581</v>
      </c>
      <c r="L77" s="27">
        <v>338.14252697566343</v>
      </c>
      <c r="M77" s="27">
        <v>250.45503806600325</v>
      </c>
      <c r="N77" s="28">
        <f t="shared" si="18"/>
        <v>1148.405031793252</v>
      </c>
      <c r="O77" s="27">
        <v>586.8794836660179</v>
      </c>
      <c r="P77" s="27">
        <v>329.53580269524622</v>
      </c>
      <c r="Q77" s="27">
        <v>470.62893471263686</v>
      </c>
      <c r="R77" s="27">
        <v>548.97861976066906</v>
      </c>
      <c r="S77" s="27">
        <v>366.16268798192783</v>
      </c>
      <c r="T77" s="27">
        <v>377.5223306650434</v>
      </c>
      <c r="U77" s="27">
        <v>326.88168057302283</v>
      </c>
      <c r="V77" s="27">
        <v>316.90218139346308</v>
      </c>
      <c r="W77" s="27">
        <v>359.79279488859152</v>
      </c>
      <c r="X77" s="27">
        <v>271.88827020055567</v>
      </c>
      <c r="Y77" s="27">
        <v>381.55659629082282</v>
      </c>
      <c r="Z77" s="27">
        <v>282.61092357433796</v>
      </c>
      <c r="AA77" s="28">
        <f t="shared" si="19"/>
        <v>4619.340306402336</v>
      </c>
      <c r="AB77" s="29"/>
      <c r="AC77" s="27">
        <v>19434.159148798626</v>
      </c>
      <c r="AD77" s="27">
        <v>14686.008138115454</v>
      </c>
      <c r="AE77" s="27">
        <v>20609.727937675503</v>
      </c>
      <c r="AF77" s="27">
        <v>15265.190809708452</v>
      </c>
      <c r="AG77" s="28">
        <f t="shared" si="20"/>
        <v>69995.08603429803</v>
      </c>
      <c r="AH77" s="27">
        <v>34555.624640135997</v>
      </c>
      <c r="AI77" s="27">
        <v>19403.158263925863</v>
      </c>
      <c r="AJ77" s="27">
        <v>27710.760497417319</v>
      </c>
      <c r="AK77" s="27">
        <v>32324.011399085241</v>
      </c>
      <c r="AL77" s="27">
        <v>22084.969887557701</v>
      </c>
      <c r="AM77" s="27">
        <v>23117.762892390834</v>
      </c>
      <c r="AN77" s="27">
        <v>20016.758139952577</v>
      </c>
      <c r="AO77" s="27">
        <v>19405.658670918649</v>
      </c>
      <c r="AP77" s="27">
        <v>22032.086176128378</v>
      </c>
      <c r="AQ77" s="27">
        <v>16649.210002084634</v>
      </c>
      <c r="AR77" s="27">
        <v>23364.803103276889</v>
      </c>
      <c r="AS77" s="27">
        <v>17305.816878387071</v>
      </c>
      <c r="AT77" s="28">
        <f t="shared" si="21"/>
        <v>277970.62055126118</v>
      </c>
      <c r="AU77" s="30">
        <f t="shared" si="17"/>
        <v>60.949825276365807</v>
      </c>
      <c r="AV77" s="30">
        <f t="shared" si="17"/>
        <v>60.949825276365807</v>
      </c>
      <c r="AW77" s="30">
        <f t="shared" si="17"/>
        <v>60.949825276365821</v>
      </c>
      <c r="AX77" s="30">
        <f t="shared" si="17"/>
        <v>60.949825276365836</v>
      </c>
      <c r="AY77" s="31">
        <f t="shared" si="17"/>
        <v>60.949825276365807</v>
      </c>
      <c r="AZ77" s="30">
        <f t="shared" si="17"/>
        <v>58.880273722093435</v>
      </c>
      <c r="BA77" s="30">
        <f t="shared" si="17"/>
        <v>58.880273722093406</v>
      </c>
      <c r="BB77" s="30">
        <f t="shared" si="17"/>
        <v>58.880273722093477</v>
      </c>
      <c r="BC77" s="30">
        <f t="shared" si="17"/>
        <v>58.880273722093428</v>
      </c>
      <c r="BD77" s="30">
        <f t="shared" si="17"/>
        <v>60.314637761911222</v>
      </c>
      <c r="BE77" s="30">
        <f t="shared" si="17"/>
        <v>61.235484670977158</v>
      </c>
      <c r="BF77" s="30">
        <f t="shared" si="17"/>
        <v>61.235484670977115</v>
      </c>
      <c r="BG77" s="30">
        <f t="shared" si="17"/>
        <v>61.235484670977215</v>
      </c>
      <c r="BH77" s="30">
        <f t="shared" si="17"/>
        <v>61.235484670977165</v>
      </c>
      <c r="BI77" s="30">
        <f t="shared" si="17"/>
        <v>61.2354846709772</v>
      </c>
      <c r="BJ77" s="30">
        <f t="shared" si="15"/>
        <v>61.235484670977122</v>
      </c>
      <c r="BK77" s="30">
        <f t="shared" si="13"/>
        <v>61.235484670977165</v>
      </c>
      <c r="BL77" s="31">
        <f t="shared" si="13"/>
        <v>60.175393479020826</v>
      </c>
    </row>
    <row r="78" spans="2:64" ht="15" x14ac:dyDescent="0.4">
      <c r="B78" t="s">
        <v>142</v>
      </c>
      <c r="C78" s="26">
        <v>53442</v>
      </c>
      <c r="D78" t="s">
        <v>143</v>
      </c>
      <c r="E78" t="s">
        <v>143</v>
      </c>
      <c r="F78" t="s">
        <v>133</v>
      </c>
      <c r="G78" t="s">
        <v>33</v>
      </c>
      <c r="H78" t="s">
        <v>34</v>
      </c>
      <c r="J78" s="27">
        <v>12738.360553882592</v>
      </c>
      <c r="K78" s="27">
        <v>18575.016769719612</v>
      </c>
      <c r="L78" s="27">
        <v>12420.940158241852</v>
      </c>
      <c r="M78" s="27">
        <v>16958.973520148644</v>
      </c>
      <c r="N78" s="28">
        <f t="shared" si="18"/>
        <v>60693.291001992693</v>
      </c>
      <c r="O78" s="27">
        <v>8219.2480996479499</v>
      </c>
      <c r="P78" s="27">
        <v>9992.9586722116728</v>
      </c>
      <c r="Q78" s="27">
        <v>44403.80160128131</v>
      </c>
      <c r="R78" s="27">
        <v>30562.854385950082</v>
      </c>
      <c r="S78" s="27">
        <v>27803.513699869753</v>
      </c>
      <c r="T78" s="27">
        <v>30749.595491618082</v>
      </c>
      <c r="U78" s="27">
        <v>18834.787101180253</v>
      </c>
      <c r="V78" s="27">
        <v>12842.575155699931</v>
      </c>
      <c r="W78" s="27">
        <v>9003.4947571970515</v>
      </c>
      <c r="X78" s="27">
        <v>13128.853229864324</v>
      </c>
      <c r="Y78" s="27">
        <v>8779.1414853698006</v>
      </c>
      <c r="Z78" s="27">
        <v>11986.631131237898</v>
      </c>
      <c r="AA78" s="28">
        <f t="shared" si="19"/>
        <v>226307.45481112812</v>
      </c>
      <c r="AB78" s="29"/>
      <c r="AC78" s="27">
        <v>96424.44712848471</v>
      </c>
      <c r="AD78" s="27">
        <v>140605.67016032775</v>
      </c>
      <c r="AE78" s="27">
        <v>94021.697887128525</v>
      </c>
      <c r="AF78" s="27">
        <v>128372.84975801111</v>
      </c>
      <c r="AG78" s="28">
        <f t="shared" si="20"/>
        <v>459424.6649339521</v>
      </c>
      <c r="AH78" s="27">
        <v>61840.737403858351</v>
      </c>
      <c r="AI78" s="27">
        <v>75185.944704883659</v>
      </c>
      <c r="AJ78" s="27">
        <v>334089.42050009128</v>
      </c>
      <c r="AK78" s="27">
        <v>229951.62446487692</v>
      </c>
      <c r="AL78" s="27">
        <v>215684.80277198544</v>
      </c>
      <c r="AM78" s="27">
        <v>240610.91020717661</v>
      </c>
      <c r="AN78" s="27">
        <v>147379.34582614905</v>
      </c>
      <c r="AO78" s="27">
        <v>100491.19828126978</v>
      </c>
      <c r="AP78" s="27">
        <v>70450.977775146399</v>
      </c>
      <c r="AQ78" s="27">
        <v>102731.28069197443</v>
      </c>
      <c r="AR78" s="27">
        <v>68695.447528999575</v>
      </c>
      <c r="AS78" s="27">
        <v>93793.56640938588</v>
      </c>
      <c r="AT78" s="28">
        <f t="shared" si="21"/>
        <v>1740905.2565657971</v>
      </c>
      <c r="AU78" s="30">
        <f t="shared" si="17"/>
        <v>7.5696120172305053</v>
      </c>
      <c r="AV78" s="30">
        <f t="shared" si="17"/>
        <v>7.5696120172305061</v>
      </c>
      <c r="AW78" s="30">
        <f t="shared" si="17"/>
        <v>7.569612017230507</v>
      </c>
      <c r="AX78" s="30">
        <f t="shared" si="17"/>
        <v>7.5696120172305061</v>
      </c>
      <c r="AY78" s="31">
        <f t="shared" si="17"/>
        <v>7.569612017230507</v>
      </c>
      <c r="AZ78" s="30">
        <f t="shared" si="17"/>
        <v>7.5238922896739346</v>
      </c>
      <c r="BA78" s="30">
        <f t="shared" si="17"/>
        <v>7.523892289673932</v>
      </c>
      <c r="BB78" s="30">
        <f t="shared" si="17"/>
        <v>7.5238922896739284</v>
      </c>
      <c r="BC78" s="30">
        <f t="shared" si="17"/>
        <v>7.5238922896739311</v>
      </c>
      <c r="BD78" s="30">
        <f t="shared" si="17"/>
        <v>7.75746566064403</v>
      </c>
      <c r="BE78" s="30">
        <f t="shared" si="17"/>
        <v>7.8248479812608869</v>
      </c>
      <c r="BF78" s="30">
        <f t="shared" si="17"/>
        <v>7.8248479812608949</v>
      </c>
      <c r="BG78" s="30">
        <f t="shared" si="17"/>
        <v>7.8248479812608833</v>
      </c>
      <c r="BH78" s="30">
        <f t="shared" si="17"/>
        <v>7.8248479812608949</v>
      </c>
      <c r="BI78" s="30">
        <f t="shared" si="17"/>
        <v>7.8248479812608949</v>
      </c>
      <c r="BJ78" s="30">
        <f t="shared" si="15"/>
        <v>7.8248479812608851</v>
      </c>
      <c r="BK78" s="30">
        <f t="shared" si="13"/>
        <v>7.8248479812608958</v>
      </c>
      <c r="BL78" s="31">
        <f t="shared" si="13"/>
        <v>7.692655365766556</v>
      </c>
    </row>
    <row r="79" spans="2:64" ht="15" x14ac:dyDescent="0.4">
      <c r="B79" t="s">
        <v>144</v>
      </c>
      <c r="C79" s="26">
        <v>53445</v>
      </c>
      <c r="D79" t="s">
        <v>143</v>
      </c>
      <c r="E79" t="s">
        <v>143</v>
      </c>
      <c r="F79" t="s">
        <v>133</v>
      </c>
      <c r="G79" t="s">
        <v>33</v>
      </c>
      <c r="H79" t="s">
        <v>34</v>
      </c>
      <c r="J79" s="27">
        <v>2481.5033493529982</v>
      </c>
      <c r="K79" s="27">
        <v>3618.5163807675485</v>
      </c>
      <c r="L79" s="27">
        <v>2419.6680942113658</v>
      </c>
      <c r="M79" s="27">
        <v>3303.7021847376377</v>
      </c>
      <c r="N79" s="28">
        <f t="shared" si="18"/>
        <v>11823.39000906955</v>
      </c>
      <c r="O79" s="27">
        <v>1370.8336973477476</v>
      </c>
      <c r="P79" s="27">
        <v>1666.6590809757774</v>
      </c>
      <c r="Q79" s="27">
        <v>7405.8145936715864</v>
      </c>
      <c r="R79" s="27">
        <v>5097.375109188798</v>
      </c>
      <c r="S79" s="27">
        <v>4637.1630375877912</v>
      </c>
      <c r="T79" s="27">
        <v>5128.5204155752253</v>
      </c>
      <c r="U79" s="27">
        <v>3141.3288086259963</v>
      </c>
      <c r="V79" s="27">
        <v>2141.9276521058546</v>
      </c>
      <c r="W79" s="27">
        <v>1501.6329787621503</v>
      </c>
      <c r="X79" s="27">
        <v>2189.6740671207772</v>
      </c>
      <c r="Y79" s="27">
        <v>1464.214589463963</v>
      </c>
      <c r="Z79" s="27">
        <v>1999.1704439585271</v>
      </c>
      <c r="AA79" s="28">
        <f t="shared" si="19"/>
        <v>37744.314474384191</v>
      </c>
      <c r="AB79" s="29"/>
      <c r="AC79" s="27">
        <v>35160.069995054953</v>
      </c>
      <c r="AD79" s="27">
        <v>51270.246828081763</v>
      </c>
      <c r="AE79" s="27">
        <v>34283.935010385772</v>
      </c>
      <c r="AF79" s="27">
        <v>46809.689009074798</v>
      </c>
      <c r="AG79" s="28">
        <f t="shared" si="20"/>
        <v>167523.94084259728</v>
      </c>
      <c r="AH79" s="27">
        <v>19201.340945230684</v>
      </c>
      <c r="AI79" s="27">
        <v>23344.982921850798</v>
      </c>
      <c r="AJ79" s="27">
        <v>103733.64126179638</v>
      </c>
      <c r="AK79" s="27">
        <v>71399.205889551216</v>
      </c>
      <c r="AL79" s="27">
        <v>67070.546820358213</v>
      </c>
      <c r="AM79" s="27">
        <v>74708.878257037606</v>
      </c>
      <c r="AN79" s="27">
        <v>45760.791127247896</v>
      </c>
      <c r="AO79" s="27">
        <v>31202.17903599987</v>
      </c>
      <c r="AP79" s="27">
        <v>21874.791617556853</v>
      </c>
      <c r="AQ79" s="27">
        <v>31897.717089378097</v>
      </c>
      <c r="AR79" s="27">
        <v>21329.705381346714</v>
      </c>
      <c r="AS79" s="27">
        <v>29122.58686914347</v>
      </c>
      <c r="AT79" s="28">
        <f t="shared" si="21"/>
        <v>540646.36721649778</v>
      </c>
      <c r="AU79" s="30">
        <f t="shared" si="17"/>
        <v>14.168858568827735</v>
      </c>
      <c r="AV79" s="30">
        <f t="shared" si="17"/>
        <v>14.168858568827725</v>
      </c>
      <c r="AW79" s="30">
        <f t="shared" si="17"/>
        <v>14.16885856882773</v>
      </c>
      <c r="AX79" s="30">
        <f t="shared" si="17"/>
        <v>14.168858568827739</v>
      </c>
      <c r="AY79" s="31">
        <f t="shared" si="17"/>
        <v>14.168858568827732</v>
      </c>
      <c r="AZ79" s="30">
        <f t="shared" si="17"/>
        <v>14.007053505017367</v>
      </c>
      <c r="BA79" s="30">
        <f t="shared" si="17"/>
        <v>14.007053505017375</v>
      </c>
      <c r="BB79" s="30">
        <f t="shared" si="17"/>
        <v>14.007053505017369</v>
      </c>
      <c r="BC79" s="30">
        <f t="shared" si="17"/>
        <v>14.007053505017364</v>
      </c>
      <c r="BD79" s="30">
        <f t="shared" si="17"/>
        <v>14.463702543279066</v>
      </c>
      <c r="BE79" s="30">
        <f t="shared" si="17"/>
        <v>14.567335645218076</v>
      </c>
      <c r="BF79" s="30">
        <f t="shared" si="17"/>
        <v>14.567335645218073</v>
      </c>
      <c r="BG79" s="30">
        <f t="shared" si="17"/>
        <v>14.567335645218073</v>
      </c>
      <c r="BH79" s="30">
        <f t="shared" si="17"/>
        <v>14.567335645218066</v>
      </c>
      <c r="BI79" s="30">
        <f t="shared" si="17"/>
        <v>14.567335645218058</v>
      </c>
      <c r="BJ79" s="30">
        <f t="shared" si="15"/>
        <v>14.567335645218058</v>
      </c>
      <c r="BK79" s="30">
        <f t="shared" si="13"/>
        <v>14.567335645218062</v>
      </c>
      <c r="BL79" s="31">
        <f t="shared" si="13"/>
        <v>14.323915396143079</v>
      </c>
    </row>
    <row r="80" spans="2:64" ht="15" x14ac:dyDescent="0.4">
      <c r="B80" t="s">
        <v>145</v>
      </c>
      <c r="C80" s="26" t="s">
        <v>146</v>
      </c>
      <c r="D80" t="s">
        <v>147</v>
      </c>
      <c r="E80" t="s">
        <v>148</v>
      </c>
      <c r="F80" t="s">
        <v>32</v>
      </c>
      <c r="G80" t="s">
        <v>21</v>
      </c>
      <c r="H80" t="s">
        <v>126</v>
      </c>
      <c r="J80" s="27">
        <v>0</v>
      </c>
      <c r="K80" s="27">
        <v>0</v>
      </c>
      <c r="L80" s="27">
        <v>0</v>
      </c>
      <c r="M80" s="27">
        <v>0</v>
      </c>
      <c r="N80" s="28">
        <f t="shared" si="18"/>
        <v>0</v>
      </c>
      <c r="O80" s="27">
        <v>0</v>
      </c>
      <c r="P80" s="27">
        <v>0</v>
      </c>
      <c r="Q80" s="27">
        <v>0</v>
      </c>
      <c r="R80" s="27">
        <v>12772.993639670996</v>
      </c>
      <c r="S80" s="27">
        <v>16043.455717770874</v>
      </c>
      <c r="T80" s="27">
        <v>7476.9021148061465</v>
      </c>
      <c r="U80" s="27">
        <v>9276.0057027133698</v>
      </c>
      <c r="V80" s="27">
        <v>7506.6405068844251</v>
      </c>
      <c r="W80" s="27">
        <v>8858.1950778553819</v>
      </c>
      <c r="X80" s="27">
        <v>8870.0219426250605</v>
      </c>
      <c r="Y80" s="27">
        <v>8742.7031823268098</v>
      </c>
      <c r="Z80" s="27">
        <v>10258.982280510179</v>
      </c>
      <c r="AA80" s="28">
        <f t="shared" si="19"/>
        <v>89805.900165163242</v>
      </c>
      <c r="AB80" s="29"/>
      <c r="AC80" s="27">
        <v>0</v>
      </c>
      <c r="AD80" s="27">
        <v>0</v>
      </c>
      <c r="AE80" s="27">
        <v>0</v>
      </c>
      <c r="AF80" s="27">
        <v>0</v>
      </c>
      <c r="AG80" s="28">
        <f t="shared" si="20"/>
        <v>0</v>
      </c>
      <c r="AH80" s="27">
        <v>0</v>
      </c>
      <c r="AI80" s="27">
        <v>0</v>
      </c>
      <c r="AJ80" s="27">
        <v>0</v>
      </c>
      <c r="AK80" s="27">
        <v>376117.73395226401</v>
      </c>
      <c r="AL80" s="27">
        <v>497281.22167526727</v>
      </c>
      <c r="AM80" s="27">
        <v>245837.223199292</v>
      </c>
      <c r="AN80" s="27">
        <v>299989.71335655771</v>
      </c>
      <c r="AO80" s="27">
        <v>244810.51108277694</v>
      </c>
      <c r="AP80" s="27">
        <v>290900.29804889741</v>
      </c>
      <c r="AQ80" s="27">
        <v>291771.02235972346</v>
      </c>
      <c r="AR80" s="27">
        <v>287846.30390354223</v>
      </c>
      <c r="AS80" s="27">
        <v>338155.16697244928</v>
      </c>
      <c r="AT80" s="28">
        <f t="shared" si="21"/>
        <v>2872709.1945507703</v>
      </c>
      <c r="AU80" s="30">
        <f t="shared" si="17"/>
        <v>0</v>
      </c>
      <c r="AV80" s="30">
        <f t="shared" si="17"/>
        <v>0</v>
      </c>
      <c r="AW80" s="30">
        <f t="shared" si="17"/>
        <v>0</v>
      </c>
      <c r="AX80" s="30">
        <f t="shared" si="17"/>
        <v>0</v>
      </c>
      <c r="AY80" s="31">
        <f t="shared" si="17"/>
        <v>0</v>
      </c>
      <c r="AZ80" s="30">
        <f t="shared" si="17"/>
        <v>0</v>
      </c>
      <c r="BA80" s="30">
        <f t="shared" si="17"/>
        <v>0</v>
      </c>
      <c r="BB80" s="30">
        <f t="shared" si="17"/>
        <v>0</v>
      </c>
      <c r="BC80" s="30">
        <f t="shared" si="17"/>
        <v>29.446325940701868</v>
      </c>
      <c r="BD80" s="30">
        <f t="shared" si="17"/>
        <v>30.995892058619464</v>
      </c>
      <c r="BE80" s="30">
        <f t="shared" si="17"/>
        <v>32.87955618844768</v>
      </c>
      <c r="BF80" s="30">
        <f t="shared" si="17"/>
        <v>32.340397685267298</v>
      </c>
      <c r="BG80" s="30">
        <f t="shared" si="17"/>
        <v>32.612526316966751</v>
      </c>
      <c r="BH80" s="30">
        <f t="shared" si="17"/>
        <v>32.839680712848555</v>
      </c>
      <c r="BI80" s="30">
        <f t="shared" si="17"/>
        <v>32.894058689709908</v>
      </c>
      <c r="BJ80" s="30">
        <f t="shared" si="15"/>
        <v>32.92417664200444</v>
      </c>
      <c r="BK80" s="30">
        <f t="shared" si="13"/>
        <v>32.961862856013511</v>
      </c>
      <c r="BL80" s="31">
        <f t="shared" si="13"/>
        <v>31.987978398607797</v>
      </c>
    </row>
    <row r="81" spans="2:64" ht="15" x14ac:dyDescent="0.4">
      <c r="B81" t="s">
        <v>149</v>
      </c>
      <c r="C81" s="26" t="s">
        <v>150</v>
      </c>
      <c r="D81" t="s">
        <v>147</v>
      </c>
      <c r="E81" t="s">
        <v>151</v>
      </c>
      <c r="F81" t="s">
        <v>32</v>
      </c>
      <c r="G81" t="s">
        <v>25</v>
      </c>
      <c r="H81" t="s">
        <v>126</v>
      </c>
      <c r="J81" s="27">
        <v>0</v>
      </c>
      <c r="K81" s="27">
        <v>0</v>
      </c>
      <c r="L81" s="27">
        <v>0</v>
      </c>
      <c r="M81" s="27">
        <v>0</v>
      </c>
      <c r="N81" s="28">
        <f t="shared" si="18"/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  <c r="V81" s="27">
        <v>20613.363711201691</v>
      </c>
      <c r="W81" s="27">
        <v>27335.04236463445</v>
      </c>
      <c r="X81" s="27">
        <v>17310.202803250741</v>
      </c>
      <c r="Y81" s="27">
        <v>11545.692915088612</v>
      </c>
      <c r="Z81" s="27">
        <v>12157.862297347965</v>
      </c>
      <c r="AA81" s="28">
        <f t="shared" si="19"/>
        <v>88962.16409152346</v>
      </c>
      <c r="AB81" s="29"/>
      <c r="AC81" s="27">
        <v>0</v>
      </c>
      <c r="AD81" s="27">
        <v>0</v>
      </c>
      <c r="AE81" s="27">
        <v>0</v>
      </c>
      <c r="AF81" s="27">
        <v>0</v>
      </c>
      <c r="AG81" s="28">
        <f t="shared" si="20"/>
        <v>0</v>
      </c>
      <c r="AH81" s="27">
        <v>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0</v>
      </c>
      <c r="AO81" s="27">
        <v>488580.77953401388</v>
      </c>
      <c r="AP81" s="27">
        <v>748817.84673375916</v>
      </c>
      <c r="AQ81" s="27">
        <v>503966.9357458321</v>
      </c>
      <c r="AR81" s="27">
        <v>320943.30128492706</v>
      </c>
      <c r="AS81" s="27">
        <v>339590.87457499583</v>
      </c>
      <c r="AT81" s="28">
        <f t="shared" si="21"/>
        <v>2401899.7378735282</v>
      </c>
      <c r="AU81" s="30">
        <f t="shared" si="17"/>
        <v>0</v>
      </c>
      <c r="AV81" s="30">
        <f t="shared" si="17"/>
        <v>0</v>
      </c>
      <c r="AW81" s="30">
        <f t="shared" si="17"/>
        <v>0</v>
      </c>
      <c r="AX81" s="30">
        <f t="shared" si="17"/>
        <v>0</v>
      </c>
      <c r="AY81" s="31">
        <f t="shared" si="17"/>
        <v>0</v>
      </c>
      <c r="AZ81" s="30">
        <f t="shared" si="17"/>
        <v>0</v>
      </c>
      <c r="BA81" s="30">
        <f t="shared" si="17"/>
        <v>0</v>
      </c>
      <c r="BB81" s="30">
        <f t="shared" si="17"/>
        <v>0</v>
      </c>
      <c r="BC81" s="30">
        <f t="shared" si="17"/>
        <v>0</v>
      </c>
      <c r="BD81" s="30">
        <f t="shared" si="17"/>
        <v>0</v>
      </c>
      <c r="BE81" s="30">
        <f t="shared" si="17"/>
        <v>0</v>
      </c>
      <c r="BF81" s="30">
        <f t="shared" si="17"/>
        <v>0</v>
      </c>
      <c r="BG81" s="30">
        <f t="shared" si="17"/>
        <v>23.702137427891493</v>
      </c>
      <c r="BH81" s="30">
        <f t="shared" si="17"/>
        <v>27.394062052106612</v>
      </c>
      <c r="BI81" s="30">
        <f t="shared" si="17"/>
        <v>29.113866629638242</v>
      </c>
      <c r="BJ81" s="30">
        <f t="shared" si="15"/>
        <v>27.797664778135481</v>
      </c>
      <c r="BK81" s="30">
        <f t="shared" si="13"/>
        <v>27.93179148353012</v>
      </c>
      <c r="BL81" s="31">
        <f t="shared" si="13"/>
        <v>26.999115437462557</v>
      </c>
    </row>
    <row r="82" spans="2:64" ht="15" x14ac:dyDescent="0.4">
      <c r="B82" t="s">
        <v>152</v>
      </c>
      <c r="C82" s="26" t="s">
        <v>153</v>
      </c>
      <c r="D82" t="s">
        <v>147</v>
      </c>
      <c r="E82" t="s">
        <v>148</v>
      </c>
      <c r="F82" t="s">
        <v>32</v>
      </c>
      <c r="G82" t="s">
        <v>22</v>
      </c>
      <c r="H82" t="s">
        <v>126</v>
      </c>
      <c r="J82" s="27">
        <v>0</v>
      </c>
      <c r="K82" s="27">
        <v>0</v>
      </c>
      <c r="L82" s="27">
        <v>0</v>
      </c>
      <c r="M82" s="27">
        <v>0</v>
      </c>
      <c r="N82" s="28">
        <f t="shared" si="18"/>
        <v>0</v>
      </c>
      <c r="O82" s="27">
        <v>0</v>
      </c>
      <c r="P82" s="27">
        <v>0</v>
      </c>
      <c r="Q82" s="27">
        <v>0</v>
      </c>
      <c r="R82" s="27">
        <v>0</v>
      </c>
      <c r="S82" s="27">
        <v>2819.6171413502225</v>
      </c>
      <c r="T82" s="27">
        <v>2988.4311081306068</v>
      </c>
      <c r="U82" s="27">
        <v>2040.3360125008562</v>
      </c>
      <c r="V82" s="27">
        <v>1293.2491110085232</v>
      </c>
      <c r="W82" s="27">
        <v>1702.2518570231757</v>
      </c>
      <c r="X82" s="27">
        <v>2038.2426799603325</v>
      </c>
      <c r="Y82" s="27">
        <v>2218.8255292193594</v>
      </c>
      <c r="Z82" s="27">
        <v>2840.4113917958484</v>
      </c>
      <c r="AA82" s="28">
        <f t="shared" si="19"/>
        <v>17941.364830988925</v>
      </c>
      <c r="AB82" s="29"/>
      <c r="AC82" s="27">
        <v>0</v>
      </c>
      <c r="AD82" s="27">
        <v>0</v>
      </c>
      <c r="AE82" s="27">
        <v>0</v>
      </c>
      <c r="AF82" s="27">
        <v>0</v>
      </c>
      <c r="AG82" s="28">
        <f t="shared" si="20"/>
        <v>0</v>
      </c>
      <c r="AH82" s="27">
        <v>0</v>
      </c>
      <c r="AI82" s="27">
        <v>0</v>
      </c>
      <c r="AJ82" s="27">
        <v>0</v>
      </c>
      <c r="AK82" s="27">
        <v>0</v>
      </c>
      <c r="AL82" s="27">
        <v>93190.713597532609</v>
      </c>
      <c r="AM82" s="27">
        <v>104402.05306129719</v>
      </c>
      <c r="AN82" s="27">
        <v>72973.294401225634</v>
      </c>
      <c r="AO82" s="27">
        <v>46094.307877974054</v>
      </c>
      <c r="AP82" s="27">
        <v>60827.801359535188</v>
      </c>
      <c r="AQ82" s="27">
        <v>72423.002322387489</v>
      </c>
      <c r="AR82" s="27">
        <v>79149.174003570573</v>
      </c>
      <c r="AS82" s="27">
        <v>102125.81285990113</v>
      </c>
      <c r="AT82" s="28">
        <f t="shared" si="21"/>
        <v>631186.15948342381</v>
      </c>
      <c r="AU82" s="30">
        <f t="shared" si="17"/>
        <v>0</v>
      </c>
      <c r="AV82" s="30">
        <f t="shared" si="17"/>
        <v>0</v>
      </c>
      <c r="AW82" s="30">
        <f t="shared" si="17"/>
        <v>0</v>
      </c>
      <c r="AX82" s="30">
        <f t="shared" si="17"/>
        <v>0</v>
      </c>
      <c r="AY82" s="31">
        <f t="shared" si="17"/>
        <v>0</v>
      </c>
      <c r="AZ82" s="30">
        <f t="shared" si="17"/>
        <v>0</v>
      </c>
      <c r="BA82" s="30">
        <f t="shared" si="17"/>
        <v>0</v>
      </c>
      <c r="BB82" s="30">
        <f t="shared" si="17"/>
        <v>0</v>
      </c>
      <c r="BC82" s="30">
        <f t="shared" si="17"/>
        <v>0</v>
      </c>
      <c r="BD82" s="30">
        <f t="shared" si="17"/>
        <v>33.050839502595245</v>
      </c>
      <c r="BE82" s="30">
        <f t="shared" si="17"/>
        <v>34.935405663945588</v>
      </c>
      <c r="BF82" s="30">
        <f t="shared" si="17"/>
        <v>35.765331766007343</v>
      </c>
      <c r="BG82" s="30">
        <f t="shared" si="17"/>
        <v>35.642249807562614</v>
      </c>
      <c r="BH82" s="30">
        <f t="shared" si="17"/>
        <v>35.733725951639265</v>
      </c>
      <c r="BI82" s="30">
        <f t="shared" si="17"/>
        <v>35.532080175946938</v>
      </c>
      <c r="BJ82" s="30">
        <f t="shared" si="15"/>
        <v>35.67165284573651</v>
      </c>
      <c r="BK82" s="30">
        <f t="shared" si="13"/>
        <v>35.954585013592748</v>
      </c>
      <c r="BL82" s="31">
        <f t="shared" si="13"/>
        <v>35.18049855344438</v>
      </c>
    </row>
    <row r="83" spans="2:64" ht="15" x14ac:dyDescent="0.4">
      <c r="B83" t="s">
        <v>154</v>
      </c>
      <c r="C83" s="26" t="s">
        <v>155</v>
      </c>
      <c r="D83" t="s">
        <v>147</v>
      </c>
      <c r="E83" t="s">
        <v>156</v>
      </c>
      <c r="F83" t="s">
        <v>32</v>
      </c>
      <c r="G83" t="s">
        <v>26</v>
      </c>
      <c r="H83" t="s">
        <v>126</v>
      </c>
      <c r="J83" s="27">
        <v>0</v>
      </c>
      <c r="K83" s="27">
        <v>0</v>
      </c>
      <c r="L83" s="27">
        <v>0</v>
      </c>
      <c r="M83" s="27">
        <v>0</v>
      </c>
      <c r="N83" s="28">
        <f t="shared" si="18"/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  <c r="V83" s="27">
        <v>0</v>
      </c>
      <c r="W83" s="27">
        <v>13881.340450430005</v>
      </c>
      <c r="X83" s="27">
        <v>13409.459049587829</v>
      </c>
      <c r="Y83" s="27">
        <v>7548.4473267104904</v>
      </c>
      <c r="Z83" s="27">
        <v>4532.2962118749647</v>
      </c>
      <c r="AA83" s="28">
        <f t="shared" si="19"/>
        <v>39371.543038603289</v>
      </c>
      <c r="AB83" s="29"/>
      <c r="AC83" s="27">
        <v>0</v>
      </c>
      <c r="AD83" s="27">
        <v>0</v>
      </c>
      <c r="AE83" s="27">
        <v>0</v>
      </c>
      <c r="AF83" s="27">
        <v>0</v>
      </c>
      <c r="AG83" s="28">
        <f t="shared" si="20"/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0</v>
      </c>
      <c r="AO83" s="27">
        <v>0</v>
      </c>
      <c r="AP83" s="27">
        <v>132392.26260733858</v>
      </c>
      <c r="AQ83" s="27">
        <v>150496.3988329292</v>
      </c>
      <c r="AR83" s="27">
        <v>90650.737754009577</v>
      </c>
      <c r="AS83" s="27">
        <v>51842.503326745005</v>
      </c>
      <c r="AT83" s="28">
        <f t="shared" si="21"/>
        <v>425381.90252102236</v>
      </c>
      <c r="AU83" s="30">
        <f t="shared" si="17"/>
        <v>0</v>
      </c>
      <c r="AV83" s="30">
        <f t="shared" si="17"/>
        <v>0</v>
      </c>
      <c r="AW83" s="30">
        <f t="shared" si="17"/>
        <v>0</v>
      </c>
      <c r="AX83" s="30">
        <f t="shared" si="17"/>
        <v>0</v>
      </c>
      <c r="AY83" s="31">
        <f t="shared" si="17"/>
        <v>0</v>
      </c>
      <c r="AZ83" s="30">
        <f t="shared" si="17"/>
        <v>0</v>
      </c>
      <c r="BA83" s="30">
        <f t="shared" si="17"/>
        <v>0</v>
      </c>
      <c r="BB83" s="30">
        <f t="shared" si="17"/>
        <v>0</v>
      </c>
      <c r="BC83" s="30">
        <f t="shared" si="17"/>
        <v>0</v>
      </c>
      <c r="BD83" s="30">
        <f t="shared" si="17"/>
        <v>0</v>
      </c>
      <c r="BE83" s="30">
        <f t="shared" si="17"/>
        <v>0</v>
      </c>
      <c r="BF83" s="30">
        <f t="shared" si="17"/>
        <v>0</v>
      </c>
      <c r="BG83" s="30">
        <f t="shared" si="17"/>
        <v>0</v>
      </c>
      <c r="BH83" s="30">
        <f t="shared" si="17"/>
        <v>9.5374263804067585</v>
      </c>
      <c r="BI83" s="30">
        <f t="shared" si="17"/>
        <v>11.223152125406212</v>
      </c>
      <c r="BJ83" s="30">
        <f t="shared" si="15"/>
        <v>12.00918994734695</v>
      </c>
      <c r="BK83" s="30">
        <f t="shared" si="13"/>
        <v>11.438463176990432</v>
      </c>
      <c r="BL83" s="31">
        <f t="shared" si="13"/>
        <v>10.804298477810253</v>
      </c>
    </row>
    <row r="84" spans="2:64" ht="15" x14ac:dyDescent="0.4">
      <c r="B84" t="s">
        <v>157</v>
      </c>
      <c r="C84" s="26" t="s">
        <v>158</v>
      </c>
      <c r="D84" t="s">
        <v>147</v>
      </c>
      <c r="E84" s="1" t="s">
        <v>156</v>
      </c>
      <c r="F84" t="s">
        <v>32</v>
      </c>
      <c r="G84" t="s">
        <v>26</v>
      </c>
      <c r="H84" t="s">
        <v>126</v>
      </c>
      <c r="J84" s="27">
        <v>0</v>
      </c>
      <c r="K84" s="27">
        <v>0</v>
      </c>
      <c r="L84" s="27">
        <v>0</v>
      </c>
      <c r="M84" s="27">
        <v>0</v>
      </c>
      <c r="N84" s="28">
        <f t="shared" si="18"/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  <c r="W84" s="27">
        <v>5324.457746674073</v>
      </c>
      <c r="X84" s="27">
        <v>5143.4584700409787</v>
      </c>
      <c r="Y84" s="27">
        <v>2895.3535854543402</v>
      </c>
      <c r="Z84" s="27">
        <v>1738.4502427351445</v>
      </c>
      <c r="AA84" s="28">
        <f t="shared" si="19"/>
        <v>15101.720044904538</v>
      </c>
      <c r="AB84" s="29"/>
      <c r="AC84" s="27">
        <v>0</v>
      </c>
      <c r="AD84" s="27">
        <v>0</v>
      </c>
      <c r="AE84" s="27">
        <v>0</v>
      </c>
      <c r="AF84" s="27">
        <v>0</v>
      </c>
      <c r="AG84" s="28">
        <f t="shared" si="20"/>
        <v>0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88504.101812424284</v>
      </c>
      <c r="AQ84" s="27">
        <v>100590.44025240929</v>
      </c>
      <c r="AR84" s="27">
        <v>60587.523178193012</v>
      </c>
      <c r="AS84" s="27">
        <v>34652.813717948949</v>
      </c>
      <c r="AT84" s="28">
        <f t="shared" si="21"/>
        <v>284334.87896097556</v>
      </c>
      <c r="AU84" s="30">
        <f t="shared" si="17"/>
        <v>0</v>
      </c>
      <c r="AV84" s="30">
        <f t="shared" si="17"/>
        <v>0</v>
      </c>
      <c r="AW84" s="30">
        <f t="shared" si="17"/>
        <v>0</v>
      </c>
      <c r="AX84" s="30">
        <f t="shared" si="17"/>
        <v>0</v>
      </c>
      <c r="AY84" s="31">
        <f t="shared" si="17"/>
        <v>0</v>
      </c>
      <c r="AZ84" s="30">
        <f t="shared" si="17"/>
        <v>0</v>
      </c>
      <c r="BA84" s="30">
        <f t="shared" si="17"/>
        <v>0</v>
      </c>
      <c r="BB84" s="30">
        <f t="shared" si="17"/>
        <v>0</v>
      </c>
      <c r="BC84" s="30">
        <f t="shared" si="17"/>
        <v>0</v>
      </c>
      <c r="BD84" s="30">
        <f t="shared" si="17"/>
        <v>0</v>
      </c>
      <c r="BE84" s="30">
        <f t="shared" si="17"/>
        <v>0</v>
      </c>
      <c r="BF84" s="30">
        <f t="shared" si="17"/>
        <v>0</v>
      </c>
      <c r="BG84" s="30">
        <f t="shared" si="17"/>
        <v>0</v>
      </c>
      <c r="BH84" s="30">
        <f t="shared" si="17"/>
        <v>16.622181266760627</v>
      </c>
      <c r="BI84" s="30">
        <f t="shared" si="17"/>
        <v>19.556965578378215</v>
      </c>
      <c r="BJ84" s="30">
        <f t="shared" si="15"/>
        <v>20.92577690081524</v>
      </c>
      <c r="BK84" s="30">
        <f t="shared" si="15"/>
        <v>19.933163956092795</v>
      </c>
      <c r="BL84" s="31">
        <f t="shared" si="15"/>
        <v>18.827979734461628</v>
      </c>
    </row>
    <row r="85" spans="2:64" ht="15" x14ac:dyDescent="0.4">
      <c r="B85" t="s">
        <v>159</v>
      </c>
      <c r="C85" s="26" t="s">
        <v>160</v>
      </c>
      <c r="D85" t="s">
        <v>147</v>
      </c>
      <c r="E85" s="1" t="s">
        <v>156</v>
      </c>
      <c r="F85" t="s">
        <v>32</v>
      </c>
      <c r="G85" t="s">
        <v>26</v>
      </c>
      <c r="H85" t="s">
        <v>126</v>
      </c>
      <c r="J85" s="27">
        <v>0</v>
      </c>
      <c r="K85" s="27">
        <v>0</v>
      </c>
      <c r="L85" s="27">
        <v>0</v>
      </c>
      <c r="M85" s="27">
        <v>0</v>
      </c>
      <c r="N85" s="28">
        <f t="shared" si="18"/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  <c r="W85" s="27">
        <v>3281.2551132550975</v>
      </c>
      <c r="X85" s="27">
        <v>3169.7123364683325</v>
      </c>
      <c r="Y85" s="27">
        <v>1784.2932011035234</v>
      </c>
      <c r="Z85" s="27">
        <v>1071.3389080188392</v>
      </c>
      <c r="AA85" s="28">
        <f t="shared" si="19"/>
        <v>9306.5995588457918</v>
      </c>
      <c r="AB85" s="29"/>
      <c r="AC85" s="27">
        <v>0</v>
      </c>
      <c r="AD85" s="27">
        <v>0</v>
      </c>
      <c r="AE85" s="27">
        <v>0</v>
      </c>
      <c r="AF85" s="27">
        <v>0</v>
      </c>
      <c r="AG85" s="28">
        <f t="shared" si="20"/>
        <v>0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0</v>
      </c>
      <c r="AO85" s="27">
        <v>0</v>
      </c>
      <c r="AP85" s="27">
        <v>20360.162663606894</v>
      </c>
      <c r="AQ85" s="27">
        <v>23145.613579892986</v>
      </c>
      <c r="AR85" s="27">
        <v>13941.847511933494</v>
      </c>
      <c r="AS85" s="27">
        <v>7972.9872411026745</v>
      </c>
      <c r="AT85" s="28">
        <f t="shared" si="21"/>
        <v>65420.610996536052</v>
      </c>
      <c r="AU85" s="30">
        <f t="shared" si="17"/>
        <v>0</v>
      </c>
      <c r="AV85" s="30">
        <f t="shared" si="17"/>
        <v>0</v>
      </c>
      <c r="AW85" s="30">
        <f t="shared" si="17"/>
        <v>0</v>
      </c>
      <c r="AX85" s="30">
        <f t="shared" si="17"/>
        <v>0</v>
      </c>
      <c r="AY85" s="31">
        <f t="shared" si="17"/>
        <v>0</v>
      </c>
      <c r="AZ85" s="30">
        <f t="shared" si="17"/>
        <v>0</v>
      </c>
      <c r="BA85" s="30">
        <f t="shared" si="17"/>
        <v>0</v>
      </c>
      <c r="BB85" s="30">
        <f t="shared" si="17"/>
        <v>0</v>
      </c>
      <c r="BC85" s="30">
        <f t="shared" si="17"/>
        <v>0</v>
      </c>
      <c r="BD85" s="30">
        <f t="shared" si="17"/>
        <v>0</v>
      </c>
      <c r="BE85" s="30">
        <f t="shared" si="17"/>
        <v>0</v>
      </c>
      <c r="BF85" s="30">
        <f t="shared" si="17"/>
        <v>0</v>
      </c>
      <c r="BG85" s="30">
        <f t="shared" si="17"/>
        <v>0</v>
      </c>
      <c r="BH85" s="30">
        <f t="shared" si="17"/>
        <v>6.2049922852261981</v>
      </c>
      <c r="BI85" s="30">
        <f t="shared" si="17"/>
        <v>7.3021180230132927</v>
      </c>
      <c r="BJ85" s="30">
        <f t="shared" si="15"/>
        <v>7.8136527692371107</v>
      </c>
      <c r="BK85" s="30">
        <f t="shared" si="15"/>
        <v>7.4420775549416263</v>
      </c>
      <c r="BL85" s="31">
        <f t="shared" si="15"/>
        <v>7.0294859666928167</v>
      </c>
    </row>
    <row r="86" spans="2:64" ht="15" x14ac:dyDescent="0.4">
      <c r="B86" t="s">
        <v>161</v>
      </c>
      <c r="C86" s="26" t="s">
        <v>162</v>
      </c>
      <c r="D86" t="s">
        <v>147</v>
      </c>
      <c r="E86" t="s">
        <v>151</v>
      </c>
      <c r="F86" t="s">
        <v>32</v>
      </c>
      <c r="G86" t="s">
        <v>23</v>
      </c>
      <c r="H86" t="s">
        <v>126</v>
      </c>
      <c r="J86" s="27">
        <v>0</v>
      </c>
      <c r="K86" s="27">
        <v>0</v>
      </c>
      <c r="L86" s="27">
        <v>0</v>
      </c>
      <c r="M86" s="27">
        <v>0</v>
      </c>
      <c r="N86" s="28">
        <f t="shared" si="18"/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2361.5462451661347</v>
      </c>
      <c r="U86" s="27">
        <v>3080.323183874189</v>
      </c>
      <c r="V86" s="27">
        <v>2072.0384067600762</v>
      </c>
      <c r="W86" s="27">
        <v>1169.1512283290833</v>
      </c>
      <c r="X86" s="27">
        <v>1126.7865402865411</v>
      </c>
      <c r="Y86" s="27">
        <v>1166.4566921606097</v>
      </c>
      <c r="Z86" s="27">
        <v>1167.14704778179</v>
      </c>
      <c r="AA86" s="28">
        <f t="shared" si="19"/>
        <v>12143.449344358423</v>
      </c>
      <c r="AB86" s="29"/>
      <c r="AC86" s="27">
        <v>0</v>
      </c>
      <c r="AD86" s="27">
        <v>0</v>
      </c>
      <c r="AE86" s="27">
        <v>0</v>
      </c>
      <c r="AF86" s="27">
        <v>0</v>
      </c>
      <c r="AG86" s="28">
        <f t="shared" si="20"/>
        <v>0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79440.104524888899</v>
      </c>
      <c r="AN86" s="27">
        <v>112774.93714870363</v>
      </c>
      <c r="AO86" s="27">
        <v>83044.875015032783</v>
      </c>
      <c r="AP86" s="27">
        <v>44593.166149787547</v>
      </c>
      <c r="AQ86" s="27">
        <v>43052.783096551444</v>
      </c>
      <c r="AR86" s="27">
        <v>44576.450177403152</v>
      </c>
      <c r="AS86" s="27">
        <v>44645.847332911915</v>
      </c>
      <c r="AT86" s="28">
        <f t="shared" si="21"/>
        <v>452128.16344527935</v>
      </c>
      <c r="AU86" s="30">
        <f t="shared" ref="AU86:BI149" si="22">IFERROR(AC86/J86,0)</f>
        <v>0</v>
      </c>
      <c r="AV86" s="30">
        <f t="shared" si="22"/>
        <v>0</v>
      </c>
      <c r="AW86" s="30">
        <f t="shared" si="22"/>
        <v>0</v>
      </c>
      <c r="AX86" s="30">
        <f t="shared" si="22"/>
        <v>0</v>
      </c>
      <c r="AY86" s="31">
        <f t="shared" si="22"/>
        <v>0</v>
      </c>
      <c r="AZ86" s="30">
        <f t="shared" si="22"/>
        <v>0</v>
      </c>
      <c r="BA86" s="30">
        <f t="shared" si="22"/>
        <v>0</v>
      </c>
      <c r="BB86" s="30">
        <f t="shared" si="22"/>
        <v>0</v>
      </c>
      <c r="BC86" s="30">
        <f t="shared" si="22"/>
        <v>0</v>
      </c>
      <c r="BD86" s="30">
        <f t="shared" si="22"/>
        <v>0</v>
      </c>
      <c r="BE86" s="30">
        <f t="shared" si="22"/>
        <v>33.639021335066126</v>
      </c>
      <c r="BF86" s="30">
        <f t="shared" si="22"/>
        <v>36.611397706283583</v>
      </c>
      <c r="BG86" s="30">
        <f t="shared" si="22"/>
        <v>40.078829979259474</v>
      </c>
      <c r="BH86" s="30">
        <f t="shared" si="22"/>
        <v>38.141486806218211</v>
      </c>
      <c r="BI86" s="30">
        <f t="shared" si="22"/>
        <v>38.208464120988829</v>
      </c>
      <c r="BJ86" s="30">
        <f t="shared" si="15"/>
        <v>38.215263778747655</v>
      </c>
      <c r="BK86" s="30">
        <f t="shared" si="15"/>
        <v>38.252118632149347</v>
      </c>
      <c r="BL86" s="31">
        <f t="shared" si="15"/>
        <v>37.232268248010442</v>
      </c>
    </row>
    <row r="87" spans="2:64" ht="15" x14ac:dyDescent="0.4">
      <c r="B87" t="s">
        <v>163</v>
      </c>
      <c r="C87" s="32" t="s">
        <v>164</v>
      </c>
      <c r="D87" t="s">
        <v>147</v>
      </c>
      <c r="E87" t="s">
        <v>151</v>
      </c>
      <c r="F87" t="s">
        <v>32</v>
      </c>
      <c r="G87" t="s">
        <v>23</v>
      </c>
      <c r="H87" t="s">
        <v>126</v>
      </c>
      <c r="J87" s="27">
        <v>0</v>
      </c>
      <c r="K87" s="27">
        <v>0</v>
      </c>
      <c r="L87" s="27">
        <v>0</v>
      </c>
      <c r="M87" s="27">
        <v>0</v>
      </c>
      <c r="N87" s="28">
        <f t="shared" si="18"/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985.41592831712649</v>
      </c>
      <c r="U87" s="27">
        <v>1285.3440985825807</v>
      </c>
      <c r="V87" s="27">
        <v>864.61133432624342</v>
      </c>
      <c r="W87" s="27">
        <v>487.85842977466854</v>
      </c>
      <c r="X87" s="27">
        <v>470.18067373632641</v>
      </c>
      <c r="Y87" s="27">
        <v>486.73406523373421</v>
      </c>
      <c r="Z87" s="27">
        <v>487.02213387804107</v>
      </c>
      <c r="AA87" s="28">
        <f t="shared" si="19"/>
        <v>5067.1666638487204</v>
      </c>
      <c r="AB87" s="29"/>
      <c r="AC87" s="27">
        <v>0</v>
      </c>
      <c r="AD87" s="27">
        <v>0</v>
      </c>
      <c r="AE87" s="27">
        <v>0</v>
      </c>
      <c r="AF87" s="27">
        <v>0</v>
      </c>
      <c r="AG87" s="28">
        <f t="shared" si="20"/>
        <v>0</v>
      </c>
      <c r="AH87" s="27">
        <v>0</v>
      </c>
      <c r="AI87" s="27">
        <v>0</v>
      </c>
      <c r="AJ87" s="27">
        <v>0</v>
      </c>
      <c r="AK87" s="27">
        <v>0</v>
      </c>
      <c r="AL87" s="27">
        <v>0</v>
      </c>
      <c r="AM87" s="27">
        <v>33148.427436573817</v>
      </c>
      <c r="AN87" s="27">
        <v>47058.243982631539</v>
      </c>
      <c r="AO87" s="27">
        <v>34652.610666602159</v>
      </c>
      <c r="AP87" s="27">
        <v>18607.645862552799</v>
      </c>
      <c r="AQ87" s="27">
        <v>17964.881402836767</v>
      </c>
      <c r="AR87" s="27">
        <v>18600.670693009313</v>
      </c>
      <c r="AS87" s="27">
        <v>18629.628441585326</v>
      </c>
      <c r="AT87" s="28">
        <f t="shared" si="21"/>
        <v>188662.10848579169</v>
      </c>
      <c r="AU87" s="30">
        <f t="shared" si="22"/>
        <v>0</v>
      </c>
      <c r="AV87" s="30">
        <f t="shared" si="22"/>
        <v>0</v>
      </c>
      <c r="AW87" s="30">
        <f t="shared" si="22"/>
        <v>0</v>
      </c>
      <c r="AX87" s="30">
        <f t="shared" si="22"/>
        <v>0</v>
      </c>
      <c r="AY87" s="31">
        <f t="shared" si="22"/>
        <v>0</v>
      </c>
      <c r="AZ87" s="30">
        <f t="shared" si="22"/>
        <v>0</v>
      </c>
      <c r="BA87" s="30">
        <f t="shared" si="22"/>
        <v>0</v>
      </c>
      <c r="BB87" s="30">
        <f t="shared" si="22"/>
        <v>0</v>
      </c>
      <c r="BC87" s="30">
        <f t="shared" si="22"/>
        <v>0</v>
      </c>
      <c r="BD87" s="30">
        <f t="shared" si="22"/>
        <v>0</v>
      </c>
      <c r="BE87" s="30">
        <f t="shared" si="22"/>
        <v>33.639021335066133</v>
      </c>
      <c r="BF87" s="30">
        <f t="shared" si="22"/>
        <v>36.611397706283661</v>
      </c>
      <c r="BG87" s="30">
        <f t="shared" si="22"/>
        <v>40.078829979259446</v>
      </c>
      <c r="BH87" s="30">
        <f t="shared" si="22"/>
        <v>38.141486806218097</v>
      </c>
      <c r="BI87" s="30">
        <f t="shared" si="22"/>
        <v>38.208464120988793</v>
      </c>
      <c r="BJ87" s="30">
        <f t="shared" si="15"/>
        <v>38.215263778747641</v>
      </c>
      <c r="BK87" s="30">
        <f t="shared" si="15"/>
        <v>38.252118632149298</v>
      </c>
      <c r="BL87" s="31">
        <f t="shared" si="15"/>
        <v>37.232268248010435</v>
      </c>
    </row>
    <row r="88" spans="2:64" ht="15" x14ac:dyDescent="0.4">
      <c r="B88" t="s">
        <v>165</v>
      </c>
      <c r="C88" s="32" t="s">
        <v>166</v>
      </c>
      <c r="D88" t="s">
        <v>147</v>
      </c>
      <c r="E88" t="s">
        <v>151</v>
      </c>
      <c r="F88" t="s">
        <v>32</v>
      </c>
      <c r="G88" t="s">
        <v>19</v>
      </c>
      <c r="H88" t="s">
        <v>126</v>
      </c>
      <c r="J88" s="27">
        <v>0</v>
      </c>
      <c r="K88" s="27">
        <v>0</v>
      </c>
      <c r="L88" s="27">
        <v>0</v>
      </c>
      <c r="M88" s="27">
        <v>0</v>
      </c>
      <c r="N88" s="28">
        <f t="shared" si="18"/>
        <v>0</v>
      </c>
      <c r="O88" s="27">
        <v>0</v>
      </c>
      <c r="P88" s="27">
        <v>3996.8337041762998</v>
      </c>
      <c r="Q88" s="27">
        <v>5126.9553516051437</v>
      </c>
      <c r="R88" s="27">
        <v>2611.1126405939367</v>
      </c>
      <c r="S88" s="27">
        <v>2035.4256427097694</v>
      </c>
      <c r="T88" s="27">
        <v>1944.9964499709115</v>
      </c>
      <c r="U88" s="27">
        <v>3116.8308267742236</v>
      </c>
      <c r="V88" s="27">
        <v>2344.7688867762017</v>
      </c>
      <c r="W88" s="27">
        <v>2558.3508412964984</v>
      </c>
      <c r="X88" s="27">
        <v>2463.4680393428885</v>
      </c>
      <c r="Y88" s="27">
        <v>2549.9689023646024</v>
      </c>
      <c r="Z88" s="27">
        <v>2550.2356128231309</v>
      </c>
      <c r="AA88" s="28">
        <f t="shared" si="19"/>
        <v>31298.946898433605</v>
      </c>
      <c r="AB88" s="29"/>
      <c r="AC88" s="27">
        <v>0</v>
      </c>
      <c r="AD88" s="27">
        <v>0</v>
      </c>
      <c r="AE88" s="27">
        <v>0</v>
      </c>
      <c r="AF88" s="27">
        <v>0</v>
      </c>
      <c r="AG88" s="28">
        <f t="shared" si="20"/>
        <v>0</v>
      </c>
      <c r="AH88" s="27">
        <v>0</v>
      </c>
      <c r="AI88" s="27">
        <v>129453.25230794607</v>
      </c>
      <c r="AJ88" s="27">
        <v>180688.69661347859</v>
      </c>
      <c r="AK88" s="27">
        <v>100581.49942284609</v>
      </c>
      <c r="AL88" s="27">
        <v>75847.076275438478</v>
      </c>
      <c r="AM88" s="27">
        <v>73963.99669535915</v>
      </c>
      <c r="AN88" s="27">
        <v>120497.76862021825</v>
      </c>
      <c r="AO88" s="27">
        <v>89329.603755325224</v>
      </c>
      <c r="AP88" s="27">
        <v>97531.283261108023</v>
      </c>
      <c r="AQ88" s="27">
        <v>94074.764311032224</v>
      </c>
      <c r="AR88" s="27">
        <v>97394.954734886778</v>
      </c>
      <c r="AS88" s="27">
        <v>97496.808417140172</v>
      </c>
      <c r="AT88" s="28">
        <f t="shared" si="21"/>
        <v>1156859.7044147791</v>
      </c>
      <c r="AU88" s="30">
        <f t="shared" si="22"/>
        <v>0</v>
      </c>
      <c r="AV88" s="30">
        <f t="shared" si="22"/>
        <v>0</v>
      </c>
      <c r="AW88" s="30">
        <f t="shared" si="22"/>
        <v>0</v>
      </c>
      <c r="AX88" s="30">
        <f t="shared" si="22"/>
        <v>0</v>
      </c>
      <c r="AY88" s="31">
        <f t="shared" si="22"/>
        <v>0</v>
      </c>
      <c r="AZ88" s="30">
        <f t="shared" si="22"/>
        <v>0</v>
      </c>
      <c r="BA88" s="30">
        <f t="shared" si="22"/>
        <v>32.388951327316946</v>
      </c>
      <c r="BB88" s="30">
        <f t="shared" si="22"/>
        <v>35.242884757502068</v>
      </c>
      <c r="BC88" s="30">
        <f t="shared" si="22"/>
        <v>38.520551683272963</v>
      </c>
      <c r="BD88" s="30">
        <f t="shared" si="22"/>
        <v>37.263496481484331</v>
      </c>
      <c r="BE88" s="30">
        <f t="shared" si="22"/>
        <v>38.027831205792339</v>
      </c>
      <c r="BF88" s="30">
        <f t="shared" si="22"/>
        <v>38.660349347522299</v>
      </c>
      <c r="BG88" s="30">
        <f t="shared" si="22"/>
        <v>38.097402374757522</v>
      </c>
      <c r="BH88" s="30">
        <f t="shared" si="22"/>
        <v>38.122716277522741</v>
      </c>
      <c r="BI88" s="30">
        <f t="shared" si="22"/>
        <v>38.187937821237561</v>
      </c>
      <c r="BJ88" s="30">
        <f t="shared" si="15"/>
        <v>38.194565684535142</v>
      </c>
      <c r="BK88" s="30">
        <f t="shared" si="15"/>
        <v>38.230510124988193</v>
      </c>
      <c r="BL88" s="31">
        <f t="shared" si="15"/>
        <v>36.961617532015929</v>
      </c>
    </row>
    <row r="89" spans="2:64" ht="15" x14ac:dyDescent="0.4">
      <c r="B89" t="s">
        <v>167</v>
      </c>
      <c r="C89" s="32" t="s">
        <v>168</v>
      </c>
      <c r="D89" t="s">
        <v>147</v>
      </c>
      <c r="E89" t="s">
        <v>151</v>
      </c>
      <c r="F89" t="s">
        <v>32</v>
      </c>
      <c r="G89" t="s">
        <v>23</v>
      </c>
      <c r="H89" t="s">
        <v>126</v>
      </c>
      <c r="J89" s="27">
        <v>0</v>
      </c>
      <c r="K89" s="27">
        <v>0</v>
      </c>
      <c r="L89" s="27">
        <v>0</v>
      </c>
      <c r="M89" s="27">
        <v>0</v>
      </c>
      <c r="N89" s="28">
        <f t="shared" si="18"/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3815.479821495122</v>
      </c>
      <c r="U89" s="27">
        <v>5063.8287915173187</v>
      </c>
      <c r="V89" s="27">
        <v>3194.0250883533245</v>
      </c>
      <c r="W89" s="27">
        <v>2217.9217822270166</v>
      </c>
      <c r="X89" s="27">
        <v>2245.4480162793757</v>
      </c>
      <c r="Y89" s="27">
        <v>2269.4630135443736</v>
      </c>
      <c r="Z89" s="27">
        <v>2652.5633290175078</v>
      </c>
      <c r="AA89" s="28">
        <f t="shared" si="19"/>
        <v>21458.729842434037</v>
      </c>
      <c r="AB89" s="29"/>
      <c r="AC89" s="27">
        <v>0</v>
      </c>
      <c r="AD89" s="27">
        <v>0</v>
      </c>
      <c r="AE89" s="27">
        <v>0</v>
      </c>
      <c r="AF89" s="27">
        <v>0</v>
      </c>
      <c r="AG89" s="28">
        <f t="shared" si="20"/>
        <v>0</v>
      </c>
      <c r="AH89" s="27">
        <v>0</v>
      </c>
      <c r="AI89" s="27">
        <v>0</v>
      </c>
      <c r="AJ89" s="27">
        <v>0</v>
      </c>
      <c r="AK89" s="27">
        <v>0</v>
      </c>
      <c r="AL89" s="27">
        <v>0</v>
      </c>
      <c r="AM89" s="27">
        <v>114932.60641806541</v>
      </c>
      <c r="AN89" s="27">
        <v>177331.43404794959</v>
      </c>
      <c r="AO89" s="27">
        <v>122063.53637175227</v>
      </c>
      <c r="AP89" s="27">
        <v>79297.389720858511</v>
      </c>
      <c r="AQ89" s="27">
        <v>80334.377563898946</v>
      </c>
      <c r="AR89" s="27">
        <v>81241.304295245136</v>
      </c>
      <c r="AS89" s="27">
        <v>95043.78003227475</v>
      </c>
      <c r="AT89" s="28">
        <f t="shared" si="21"/>
        <v>750244.42845004459</v>
      </c>
      <c r="AU89" s="30">
        <f t="shared" si="22"/>
        <v>0</v>
      </c>
      <c r="AV89" s="30">
        <f t="shared" si="22"/>
        <v>0</v>
      </c>
      <c r="AW89" s="30">
        <f t="shared" si="22"/>
        <v>0</v>
      </c>
      <c r="AX89" s="30">
        <f t="shared" si="22"/>
        <v>0</v>
      </c>
      <c r="AY89" s="31">
        <f t="shared" si="22"/>
        <v>0</v>
      </c>
      <c r="AZ89" s="30">
        <f t="shared" si="22"/>
        <v>0</v>
      </c>
      <c r="BA89" s="30">
        <f t="shared" si="22"/>
        <v>0</v>
      </c>
      <c r="BB89" s="30">
        <f t="shared" si="22"/>
        <v>0</v>
      </c>
      <c r="BC89" s="30">
        <f t="shared" si="22"/>
        <v>0</v>
      </c>
      <c r="BD89" s="30">
        <f t="shared" si="22"/>
        <v>0</v>
      </c>
      <c r="BE89" s="30">
        <f t="shared" si="22"/>
        <v>30.122713733296138</v>
      </c>
      <c r="BF89" s="30">
        <f t="shared" si="22"/>
        <v>35.019239660117783</v>
      </c>
      <c r="BG89" s="30">
        <f t="shared" si="22"/>
        <v>38.216210892282618</v>
      </c>
      <c r="BH89" s="30">
        <f t="shared" si="22"/>
        <v>35.753014536534266</v>
      </c>
      <c r="BI89" s="30">
        <f t="shared" si="22"/>
        <v>35.776547478044066</v>
      </c>
      <c r="BJ89" s="30">
        <f t="shared" si="15"/>
        <v>35.797589037754399</v>
      </c>
      <c r="BK89" s="30">
        <f t="shared" si="15"/>
        <v>35.830918339460851</v>
      </c>
      <c r="BL89" s="31">
        <f t="shared" si="15"/>
        <v>34.962201116230901</v>
      </c>
    </row>
    <row r="90" spans="2:64" ht="15" x14ac:dyDescent="0.4">
      <c r="B90" t="s">
        <v>169</v>
      </c>
      <c r="C90" s="32" t="s">
        <v>170</v>
      </c>
      <c r="D90" t="s">
        <v>147</v>
      </c>
      <c r="E90" t="s">
        <v>151</v>
      </c>
      <c r="F90" t="s">
        <v>32</v>
      </c>
      <c r="G90" t="s">
        <v>19</v>
      </c>
      <c r="H90" t="s">
        <v>126</v>
      </c>
      <c r="J90" s="27">
        <v>0</v>
      </c>
      <c r="K90" s="27">
        <v>0</v>
      </c>
      <c r="L90" s="27">
        <v>0</v>
      </c>
      <c r="M90" s="27">
        <v>0</v>
      </c>
      <c r="N90" s="28">
        <f t="shared" si="18"/>
        <v>0</v>
      </c>
      <c r="O90" s="27">
        <v>0</v>
      </c>
      <c r="P90" s="27">
        <v>3648.1011825197065</v>
      </c>
      <c r="Q90" s="27">
        <v>4679.6172333547374</v>
      </c>
      <c r="R90" s="27">
        <v>2383.2873261375794</v>
      </c>
      <c r="S90" s="27">
        <v>1857.8302835921281</v>
      </c>
      <c r="T90" s="27">
        <v>1775.2912365909456</v>
      </c>
      <c r="U90" s="27">
        <v>2844.8804895204494</v>
      </c>
      <c r="V90" s="27">
        <v>2140.1826499925751</v>
      </c>
      <c r="W90" s="27">
        <v>2335.1291097455091</v>
      </c>
      <c r="X90" s="27">
        <v>2248.5250407180515</v>
      </c>
      <c r="Y90" s="27">
        <v>2327.478513400376</v>
      </c>
      <c r="Z90" s="27">
        <v>2327.7219527854431</v>
      </c>
      <c r="AA90" s="28">
        <f t="shared" si="19"/>
        <v>28568.045018357498</v>
      </c>
      <c r="AB90" s="29"/>
      <c r="AC90" s="27">
        <v>0</v>
      </c>
      <c r="AD90" s="27">
        <v>0</v>
      </c>
      <c r="AE90" s="27">
        <v>0</v>
      </c>
      <c r="AF90" s="27">
        <v>0</v>
      </c>
      <c r="AG90" s="28">
        <f t="shared" si="20"/>
        <v>0</v>
      </c>
      <c r="AH90" s="27">
        <v>0</v>
      </c>
      <c r="AI90" s="27">
        <v>118158.17163775813</v>
      </c>
      <c r="AJ90" s="27">
        <v>164923.21086434156</v>
      </c>
      <c r="AK90" s="27">
        <v>91805.542622572044</v>
      </c>
      <c r="AL90" s="27">
        <v>69229.252235830369</v>
      </c>
      <c r="AM90" s="27">
        <v>67510.475486202864</v>
      </c>
      <c r="AN90" s="27">
        <v>109984.07357681118</v>
      </c>
      <c r="AO90" s="27">
        <v>81535.399572242139</v>
      </c>
      <c r="AP90" s="27">
        <v>89021.464522212264</v>
      </c>
      <c r="AQ90" s="27">
        <v>85866.534444436547</v>
      </c>
      <c r="AR90" s="27">
        <v>88897.030959414798</v>
      </c>
      <c r="AS90" s="27">
        <v>88989.99768412103</v>
      </c>
      <c r="AT90" s="28">
        <f t="shared" si="21"/>
        <v>1055921.1536059431</v>
      </c>
      <c r="AU90" s="30">
        <f t="shared" si="22"/>
        <v>0</v>
      </c>
      <c r="AV90" s="30">
        <f t="shared" si="22"/>
        <v>0</v>
      </c>
      <c r="AW90" s="30">
        <f t="shared" si="22"/>
        <v>0</v>
      </c>
      <c r="AX90" s="30">
        <f t="shared" si="22"/>
        <v>0</v>
      </c>
      <c r="AY90" s="31">
        <f t="shared" si="22"/>
        <v>0</v>
      </c>
      <c r="AZ90" s="30">
        <f t="shared" si="22"/>
        <v>0</v>
      </c>
      <c r="BA90" s="30">
        <f t="shared" si="22"/>
        <v>32.388951327316938</v>
      </c>
      <c r="BB90" s="30">
        <f t="shared" si="22"/>
        <v>35.24288475750204</v>
      </c>
      <c r="BC90" s="30">
        <f t="shared" si="22"/>
        <v>38.520551683272956</v>
      </c>
      <c r="BD90" s="30">
        <f t="shared" si="22"/>
        <v>37.263496481484367</v>
      </c>
      <c r="BE90" s="30">
        <f t="shared" si="22"/>
        <v>38.02783120579236</v>
      </c>
      <c r="BF90" s="30">
        <f t="shared" si="22"/>
        <v>38.66034934752242</v>
      </c>
      <c r="BG90" s="30">
        <f t="shared" si="22"/>
        <v>38.0974023747576</v>
      </c>
      <c r="BH90" s="30">
        <f t="shared" si="22"/>
        <v>38.12271627752272</v>
      </c>
      <c r="BI90" s="30">
        <f t="shared" si="22"/>
        <v>38.187937821237533</v>
      </c>
      <c r="BJ90" s="30">
        <f t="shared" si="15"/>
        <v>38.194565684535114</v>
      </c>
      <c r="BK90" s="30">
        <f t="shared" si="15"/>
        <v>38.230510124988129</v>
      </c>
      <c r="BL90" s="31">
        <f t="shared" si="15"/>
        <v>36.961617532015936</v>
      </c>
    </row>
    <row r="91" spans="2:64" ht="15" x14ac:dyDescent="0.4">
      <c r="B91" t="s">
        <v>171</v>
      </c>
      <c r="C91" s="26" t="s">
        <v>172</v>
      </c>
      <c r="D91" t="s">
        <v>147</v>
      </c>
      <c r="E91" t="s">
        <v>173</v>
      </c>
      <c r="F91" t="s">
        <v>32</v>
      </c>
      <c r="G91" t="s">
        <v>28</v>
      </c>
      <c r="H91" t="s">
        <v>126</v>
      </c>
      <c r="J91" s="27">
        <v>0</v>
      </c>
      <c r="K91" s="27">
        <v>0</v>
      </c>
      <c r="L91" s="27">
        <v>0</v>
      </c>
      <c r="M91" s="27">
        <v>0</v>
      </c>
      <c r="N91" s="28">
        <f t="shared" si="18"/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  <c r="X91" s="27">
        <v>0</v>
      </c>
      <c r="Y91" s="27">
        <v>15867.326421233758</v>
      </c>
      <c r="Z91" s="27">
        <v>5233.9805620721318</v>
      </c>
      <c r="AA91" s="28">
        <f t="shared" si="19"/>
        <v>21101.306983305891</v>
      </c>
      <c r="AB91" s="29"/>
      <c r="AC91" s="27">
        <v>0</v>
      </c>
      <c r="AD91" s="27">
        <v>0</v>
      </c>
      <c r="AE91" s="27">
        <v>0</v>
      </c>
      <c r="AF91" s="27">
        <v>0</v>
      </c>
      <c r="AG91" s="28">
        <f t="shared" si="20"/>
        <v>0</v>
      </c>
      <c r="AH91" s="27">
        <v>0</v>
      </c>
      <c r="AI91" s="27">
        <v>0</v>
      </c>
      <c r="AJ91" s="27">
        <v>0</v>
      </c>
      <c r="AK91" s="27">
        <v>0</v>
      </c>
      <c r="AL91" s="27">
        <v>0</v>
      </c>
      <c r="AM91" s="27">
        <v>0</v>
      </c>
      <c r="AN91" s="27">
        <v>0</v>
      </c>
      <c r="AO91" s="27">
        <v>0</v>
      </c>
      <c r="AP91" s="27">
        <v>0</v>
      </c>
      <c r="AQ91" s="27">
        <v>0</v>
      </c>
      <c r="AR91" s="27">
        <v>160308.30266649069</v>
      </c>
      <c r="AS91" s="27">
        <v>58143.989912290468</v>
      </c>
      <c r="AT91" s="28">
        <f t="shared" si="21"/>
        <v>218452.29257878117</v>
      </c>
      <c r="AU91" s="30">
        <f t="shared" si="22"/>
        <v>0</v>
      </c>
      <c r="AV91" s="30">
        <f t="shared" si="22"/>
        <v>0</v>
      </c>
      <c r="AW91" s="30">
        <f t="shared" si="22"/>
        <v>0</v>
      </c>
      <c r="AX91" s="30">
        <f t="shared" si="22"/>
        <v>0</v>
      </c>
      <c r="AY91" s="31">
        <f t="shared" si="22"/>
        <v>0</v>
      </c>
      <c r="AZ91" s="30">
        <f t="shared" si="22"/>
        <v>0</v>
      </c>
      <c r="BA91" s="30">
        <f t="shared" si="22"/>
        <v>0</v>
      </c>
      <c r="BB91" s="30">
        <f t="shared" si="22"/>
        <v>0</v>
      </c>
      <c r="BC91" s="30">
        <f t="shared" si="22"/>
        <v>0</v>
      </c>
      <c r="BD91" s="30">
        <f t="shared" si="22"/>
        <v>0</v>
      </c>
      <c r="BE91" s="30">
        <f t="shared" si="22"/>
        <v>0</v>
      </c>
      <c r="BF91" s="30">
        <f t="shared" si="22"/>
        <v>0</v>
      </c>
      <c r="BG91" s="30">
        <f t="shared" si="22"/>
        <v>0</v>
      </c>
      <c r="BH91" s="30">
        <f t="shared" si="22"/>
        <v>0</v>
      </c>
      <c r="BI91" s="30">
        <f t="shared" si="22"/>
        <v>0</v>
      </c>
      <c r="BJ91" s="30">
        <f t="shared" si="15"/>
        <v>10.103044357363512</v>
      </c>
      <c r="BK91" s="30">
        <f t="shared" si="15"/>
        <v>11.108942653251138</v>
      </c>
      <c r="BL91" s="31">
        <f t="shared" si="15"/>
        <v>10.35254796073095</v>
      </c>
    </row>
    <row r="92" spans="2:64" ht="15" x14ac:dyDescent="0.4">
      <c r="B92" t="s">
        <v>174</v>
      </c>
      <c r="C92" s="26">
        <v>510003</v>
      </c>
      <c r="D92" t="s">
        <v>147</v>
      </c>
      <c r="E92" t="s">
        <v>148</v>
      </c>
      <c r="F92" t="s">
        <v>32</v>
      </c>
      <c r="G92" t="s">
        <v>33</v>
      </c>
      <c r="H92" t="s">
        <v>34</v>
      </c>
      <c r="J92" s="27">
        <v>9095.0336074497081</v>
      </c>
      <c r="K92" s="27">
        <v>8730.3711612224124</v>
      </c>
      <c r="L92" s="27">
        <v>11768.74792416858</v>
      </c>
      <c r="M92" s="27">
        <v>13981.185983004676</v>
      </c>
      <c r="N92" s="28">
        <f t="shared" si="18"/>
        <v>43575.338675845378</v>
      </c>
      <c r="O92" s="27">
        <v>3445.7413151543433</v>
      </c>
      <c r="P92" s="27">
        <v>2453.8312808277478</v>
      </c>
      <c r="Q92" s="27">
        <v>2459.7513931909075</v>
      </c>
      <c r="R92" s="27">
        <v>1446.4832448965981</v>
      </c>
      <c r="S92" s="27">
        <v>1232.6661854241659</v>
      </c>
      <c r="T92" s="27">
        <v>1657.7125591143979</v>
      </c>
      <c r="U92" s="27">
        <v>5906.030900378265</v>
      </c>
      <c r="V92" s="27">
        <v>10199.004435395129</v>
      </c>
      <c r="W92" s="27">
        <v>9880.1072246000131</v>
      </c>
      <c r="X92" s="27">
        <v>7845.8298097283096</v>
      </c>
      <c r="Y92" s="27">
        <v>6369.4658482589984</v>
      </c>
      <c r="Z92" s="27">
        <v>4742.6735273153281</v>
      </c>
      <c r="AA92" s="28">
        <f t="shared" si="19"/>
        <v>57639.297724284203</v>
      </c>
      <c r="AB92" s="29"/>
      <c r="AC92" s="27">
        <v>184948.93366359323</v>
      </c>
      <c r="AD92" s="27">
        <v>179477.63941811208</v>
      </c>
      <c r="AE92" s="27">
        <v>247942.01191262648</v>
      </c>
      <c r="AF92" s="27">
        <v>298459.72616273828</v>
      </c>
      <c r="AG92" s="28">
        <f t="shared" si="20"/>
        <v>910828.3111570701</v>
      </c>
      <c r="AH92" s="27">
        <v>69562.534668428154</v>
      </c>
      <c r="AI92" s="27">
        <v>49537.881091752184</v>
      </c>
      <c r="AJ92" s="27">
        <v>49657.396163789679</v>
      </c>
      <c r="AK92" s="27">
        <v>29201.565546400554</v>
      </c>
      <c r="AL92" s="27">
        <v>25880.43369253906</v>
      </c>
      <c r="AM92" s="27">
        <v>34804.491657801525</v>
      </c>
      <c r="AN92" s="27">
        <v>124000.02767231734</v>
      </c>
      <c r="AO92" s="27">
        <v>214133.12147386238</v>
      </c>
      <c r="AP92" s="27">
        <v>207437.71746561609</v>
      </c>
      <c r="AQ92" s="27">
        <v>164727.06119033214</v>
      </c>
      <c r="AR92" s="27">
        <v>133730.07266037347</v>
      </c>
      <c r="AS92" s="27">
        <v>99574.766632223676</v>
      </c>
      <c r="AT92" s="28">
        <f t="shared" si="21"/>
        <v>1202247.0699154362</v>
      </c>
      <c r="AU92" s="30">
        <f t="shared" si="22"/>
        <v>20.335156707073875</v>
      </c>
      <c r="AV92" s="30">
        <f t="shared" si="22"/>
        <v>20.557847553526226</v>
      </c>
      <c r="AW92" s="30">
        <f t="shared" si="22"/>
        <v>21.067832662423406</v>
      </c>
      <c r="AX92" s="30">
        <f t="shared" si="22"/>
        <v>21.347239535010946</v>
      </c>
      <c r="AY92" s="31">
        <f t="shared" si="22"/>
        <v>20.902380539889165</v>
      </c>
      <c r="AZ92" s="30">
        <f t="shared" si="22"/>
        <v>20.187973590034943</v>
      </c>
      <c r="BA92" s="30">
        <f t="shared" si="22"/>
        <v>20.18797359003494</v>
      </c>
      <c r="BB92" s="30">
        <f t="shared" si="22"/>
        <v>20.187973590034936</v>
      </c>
      <c r="BC92" s="30">
        <f t="shared" si="22"/>
        <v>20.187973590034932</v>
      </c>
      <c r="BD92" s="30">
        <f t="shared" si="22"/>
        <v>20.995492533636337</v>
      </c>
      <c r="BE92" s="30">
        <f t="shared" si="22"/>
        <v>20.995492533636337</v>
      </c>
      <c r="BF92" s="30">
        <f t="shared" si="22"/>
        <v>20.995492533636334</v>
      </c>
      <c r="BG92" s="30">
        <f t="shared" si="22"/>
        <v>20.995492533636344</v>
      </c>
      <c r="BH92" s="30">
        <f t="shared" si="22"/>
        <v>20.995492533636344</v>
      </c>
      <c r="BI92" s="30">
        <f t="shared" si="22"/>
        <v>20.995492533636337</v>
      </c>
      <c r="BJ92" s="30">
        <f t="shared" si="15"/>
        <v>20.995492533636341</v>
      </c>
      <c r="BK92" s="30">
        <f t="shared" si="15"/>
        <v>20.995492533636337</v>
      </c>
      <c r="BL92" s="31">
        <f t="shared" si="15"/>
        <v>20.858114470206559</v>
      </c>
    </row>
    <row r="93" spans="2:64" ht="15" x14ac:dyDescent="0.4">
      <c r="B93" t="s">
        <v>175</v>
      </c>
      <c r="C93" s="26">
        <v>510007</v>
      </c>
      <c r="D93" t="s">
        <v>147</v>
      </c>
      <c r="E93" t="s">
        <v>148</v>
      </c>
      <c r="F93" t="s">
        <v>32</v>
      </c>
      <c r="G93" t="s">
        <v>33</v>
      </c>
      <c r="H93" t="s">
        <v>34</v>
      </c>
      <c r="J93" s="27">
        <v>35586.478926620031</v>
      </c>
      <c r="K93" s="27">
        <v>25609.435904265098</v>
      </c>
      <c r="L93" s="27">
        <v>21879.753964653199</v>
      </c>
      <c r="M93" s="27">
        <v>21271.908003709483</v>
      </c>
      <c r="N93" s="28">
        <f t="shared" si="18"/>
        <v>104347.57679924781</v>
      </c>
      <c r="O93" s="27">
        <v>13940.943782607204</v>
      </c>
      <c r="P93" s="27">
        <v>9927.8270796397082</v>
      </c>
      <c r="Q93" s="27">
        <v>9951.7789512670479</v>
      </c>
      <c r="R93" s="27">
        <v>5852.2505769367326</v>
      </c>
      <c r="S93" s="27">
        <v>4987.1793678015601</v>
      </c>
      <c r="T93" s="27">
        <v>6706.8521634801291</v>
      </c>
      <c r="U93" s="27">
        <v>23894.900176749445</v>
      </c>
      <c r="V93" s="27">
        <v>41263.616292692117</v>
      </c>
      <c r="W93" s="27">
        <v>39973.406819168114</v>
      </c>
      <c r="X93" s="27">
        <v>31743.030686686026</v>
      </c>
      <c r="Y93" s="27">
        <v>25769.887288198192</v>
      </c>
      <c r="Z93" s="27">
        <v>19188.133692096635</v>
      </c>
      <c r="AA93" s="28">
        <f t="shared" si="19"/>
        <v>233199.8068773229</v>
      </c>
      <c r="AB93" s="29"/>
      <c r="AC93" s="27">
        <v>873187.40368713788</v>
      </c>
      <c r="AD93" s="27">
        <v>623598.00854760734</v>
      </c>
      <c r="AE93" s="27">
        <v>535301.02537183859</v>
      </c>
      <c r="AF93" s="27">
        <v>528526.21274564951</v>
      </c>
      <c r="AG93" s="28">
        <f t="shared" si="20"/>
        <v>2560612.6503522331</v>
      </c>
      <c r="AH93" s="27">
        <v>346840.16573937592</v>
      </c>
      <c r="AI93" s="27">
        <v>246996.84923986808</v>
      </c>
      <c r="AJ93" s="27">
        <v>247592.75373919986</v>
      </c>
      <c r="AK93" s="27">
        <v>145599.58003599965</v>
      </c>
      <c r="AL93" s="27">
        <v>128149.58659851168</v>
      </c>
      <c r="AM93" s="27">
        <v>173535.87980377988</v>
      </c>
      <c r="AN93" s="27">
        <v>618266.5763194738</v>
      </c>
      <c r="AO93" s="27">
        <v>1067671.9543974975</v>
      </c>
      <c r="AP93" s="27">
        <v>1034288.5383534847</v>
      </c>
      <c r="AQ93" s="27">
        <v>821332.3662995575</v>
      </c>
      <c r="AR93" s="27">
        <v>666780.77196221275</v>
      </c>
      <c r="AS93" s="27">
        <v>496481.74447350891</v>
      </c>
      <c r="AT93" s="28">
        <f t="shared" si="21"/>
        <v>5993536.7669624696</v>
      </c>
      <c r="AU93" s="30">
        <f t="shared" si="22"/>
        <v>24.537055365541114</v>
      </c>
      <c r="AV93" s="30">
        <f t="shared" si="22"/>
        <v>24.35032192348098</v>
      </c>
      <c r="AW93" s="30">
        <f t="shared" si="22"/>
        <v>24.465587055348923</v>
      </c>
      <c r="AX93" s="30">
        <f t="shared" si="22"/>
        <v>24.846206210250767</v>
      </c>
      <c r="AY93" s="31">
        <f t="shared" si="22"/>
        <v>24.539263190352219</v>
      </c>
      <c r="AZ93" s="30">
        <f t="shared" si="22"/>
        <v>24.879245705882234</v>
      </c>
      <c r="BA93" s="30">
        <f t="shared" si="22"/>
        <v>24.879245705882287</v>
      </c>
      <c r="BB93" s="30">
        <f t="shared" si="22"/>
        <v>24.87924570588223</v>
      </c>
      <c r="BC93" s="30">
        <f t="shared" si="22"/>
        <v>24.87924570588217</v>
      </c>
      <c r="BD93" s="30">
        <f t="shared" si="22"/>
        <v>25.695804611696243</v>
      </c>
      <c r="BE93" s="30">
        <f t="shared" si="22"/>
        <v>25.87441553411751</v>
      </c>
      <c r="BF93" s="30">
        <f t="shared" si="22"/>
        <v>25.874415534117542</v>
      </c>
      <c r="BG93" s="30">
        <f t="shared" si="22"/>
        <v>25.874415534117514</v>
      </c>
      <c r="BH93" s="30">
        <f t="shared" si="22"/>
        <v>25.874415534117571</v>
      </c>
      <c r="BI93" s="30">
        <f t="shared" si="22"/>
        <v>25.874415534117503</v>
      </c>
      <c r="BJ93" s="30">
        <f t="shared" si="15"/>
        <v>25.874415534117514</v>
      </c>
      <c r="BK93" s="30">
        <f t="shared" si="15"/>
        <v>25.874415534117517</v>
      </c>
      <c r="BL93" s="31">
        <f t="shared" si="15"/>
        <v>25.701293869919155</v>
      </c>
    </row>
    <row r="94" spans="2:64" ht="15" x14ac:dyDescent="0.4">
      <c r="B94" t="s">
        <v>176</v>
      </c>
      <c r="C94" s="26">
        <v>510041</v>
      </c>
      <c r="D94" t="s">
        <v>147</v>
      </c>
      <c r="E94" t="s">
        <v>148</v>
      </c>
      <c r="F94" t="s">
        <v>32</v>
      </c>
      <c r="G94" t="s">
        <v>33</v>
      </c>
      <c r="H94" t="s">
        <v>76</v>
      </c>
      <c r="J94" s="27">
        <v>1418.0873807345047</v>
      </c>
      <c r="K94" s="27">
        <v>1131.1908735948625</v>
      </c>
      <c r="L94" s="27">
        <v>872.61193150327097</v>
      </c>
      <c r="M94" s="27">
        <v>736.45330137601059</v>
      </c>
      <c r="N94" s="28">
        <f t="shared" si="18"/>
        <v>4158.3434872086491</v>
      </c>
      <c r="O94" s="27">
        <v>920.69818652355821</v>
      </c>
      <c r="P94" s="27">
        <v>655.66094597896142</v>
      </c>
      <c r="Q94" s="27">
        <v>657.24279331404887</v>
      </c>
      <c r="R94" s="27">
        <v>386.49868884697645</v>
      </c>
      <c r="S94" s="27">
        <v>329.36701211945331</v>
      </c>
      <c r="T94" s="27">
        <v>442.93892296601166</v>
      </c>
      <c r="U94" s="27">
        <v>1578.0847841407963</v>
      </c>
      <c r="V94" s="27">
        <v>2725.1624626364087</v>
      </c>
      <c r="W94" s="27">
        <v>2639.9534881915765</v>
      </c>
      <c r="X94" s="27">
        <v>2096.3968611978535</v>
      </c>
      <c r="Y94" s="27">
        <v>1701.9140786409032</v>
      </c>
      <c r="Z94" s="27">
        <v>1267.2370083814376</v>
      </c>
      <c r="AA94" s="28">
        <f t="shared" si="19"/>
        <v>15401.155232937985</v>
      </c>
      <c r="AB94" s="29"/>
      <c r="AC94" s="27">
        <v>22750.411841256398</v>
      </c>
      <c r="AD94" s="27">
        <v>18154.738560605427</v>
      </c>
      <c r="AE94" s="27">
        <v>13996.055604951407</v>
      </c>
      <c r="AF94" s="27">
        <v>11743.026587285558</v>
      </c>
      <c r="AG94" s="28">
        <f t="shared" si="20"/>
        <v>66644.232594098794</v>
      </c>
      <c r="AH94" s="27">
        <v>14433.983448353976</v>
      </c>
      <c r="AI94" s="27">
        <v>10278.937637236555</v>
      </c>
      <c r="AJ94" s="27">
        <v>10303.736598054191</v>
      </c>
      <c r="AK94" s="27">
        <v>6059.223054074112</v>
      </c>
      <c r="AL94" s="27">
        <v>5348.086542846645</v>
      </c>
      <c r="AM94" s="27">
        <v>7221.8106903612779</v>
      </c>
      <c r="AN94" s="27">
        <v>25729.57347728726</v>
      </c>
      <c r="AO94" s="27">
        <v>44431.876236690652</v>
      </c>
      <c r="AP94" s="27">
        <v>43042.603245191487</v>
      </c>
      <c r="AQ94" s="27">
        <v>34180.29095763214</v>
      </c>
      <c r="AR94" s="27">
        <v>27748.523893323254</v>
      </c>
      <c r="AS94" s="27">
        <v>20661.41695805034</v>
      </c>
      <c r="AT94" s="28">
        <f t="shared" si="21"/>
        <v>249440.06273910188</v>
      </c>
      <c r="AU94" s="30">
        <f t="shared" si="22"/>
        <v>16.043025380758074</v>
      </c>
      <c r="AV94" s="30">
        <f t="shared" si="22"/>
        <v>16.049226513745346</v>
      </c>
      <c r="AW94" s="30">
        <f t="shared" si="22"/>
        <v>16.039266826022011</v>
      </c>
      <c r="AX94" s="30">
        <f t="shared" si="22"/>
        <v>15.945378431116472</v>
      </c>
      <c r="AY94" s="31">
        <f t="shared" si="22"/>
        <v>16.026630026860705</v>
      </c>
      <c r="AZ94" s="30">
        <f t="shared" si="22"/>
        <v>15.677215030535578</v>
      </c>
      <c r="BA94" s="30">
        <f t="shared" si="22"/>
        <v>15.677215030535587</v>
      </c>
      <c r="BB94" s="30">
        <f t="shared" si="22"/>
        <v>15.677215030535571</v>
      </c>
      <c r="BC94" s="30">
        <f t="shared" si="22"/>
        <v>15.677215030535576</v>
      </c>
      <c r="BD94" s="30">
        <f t="shared" si="22"/>
        <v>16.237468677971385</v>
      </c>
      <c r="BE94" s="30">
        <f t="shared" si="22"/>
        <v>16.304303631757001</v>
      </c>
      <c r="BF94" s="30">
        <f t="shared" si="22"/>
        <v>16.304303631757008</v>
      </c>
      <c r="BG94" s="30">
        <f t="shared" si="22"/>
        <v>16.304303631757001</v>
      </c>
      <c r="BH94" s="30">
        <f t="shared" si="22"/>
        <v>16.304303631757001</v>
      </c>
      <c r="BI94" s="30">
        <f t="shared" si="22"/>
        <v>16.304303631757001</v>
      </c>
      <c r="BJ94" s="30">
        <f t="shared" si="15"/>
        <v>16.304303631757005</v>
      </c>
      <c r="BK94" s="30">
        <f t="shared" si="15"/>
        <v>16.304303631756994</v>
      </c>
      <c r="BL94" s="31">
        <f t="shared" si="15"/>
        <v>16.196191712010794</v>
      </c>
    </row>
    <row r="95" spans="2:64" ht="15" x14ac:dyDescent="0.4">
      <c r="B95" t="s">
        <v>177</v>
      </c>
      <c r="C95" s="26">
        <v>510040</v>
      </c>
      <c r="D95" t="s">
        <v>147</v>
      </c>
      <c r="E95" t="s">
        <v>148</v>
      </c>
      <c r="F95" t="s">
        <v>32</v>
      </c>
      <c r="G95" t="s">
        <v>33</v>
      </c>
      <c r="H95" t="s">
        <v>76</v>
      </c>
      <c r="J95" s="27">
        <v>1710.2205709917321</v>
      </c>
      <c r="K95" s="27">
        <v>1512.4946536555844</v>
      </c>
      <c r="L95" s="27">
        <v>1629.4173168747866</v>
      </c>
      <c r="M95" s="27">
        <v>1185.6985069406039</v>
      </c>
      <c r="N95" s="28">
        <f t="shared" si="18"/>
        <v>6037.8310484627073</v>
      </c>
      <c r="O95" s="27">
        <v>819.5667892009111</v>
      </c>
      <c r="P95" s="27">
        <v>583.64178855332182</v>
      </c>
      <c r="Q95" s="27">
        <v>585.04988249811242</v>
      </c>
      <c r="R95" s="27">
        <v>344.04487169104823</v>
      </c>
      <c r="S95" s="27">
        <v>293.18865676350612</v>
      </c>
      <c r="T95" s="27">
        <v>394.28559349951007</v>
      </c>
      <c r="U95" s="27">
        <v>1404.7446802394588</v>
      </c>
      <c r="V95" s="27">
        <v>2425.8249687522539</v>
      </c>
      <c r="W95" s="27">
        <v>2349.9755246900927</v>
      </c>
      <c r="X95" s="27">
        <v>1866.1242843436726</v>
      </c>
      <c r="Y95" s="27">
        <v>1514.9723083459792</v>
      </c>
      <c r="Z95" s="27">
        <v>1128.0410685257368</v>
      </c>
      <c r="AA95" s="28">
        <f t="shared" si="19"/>
        <v>13709.460417103604</v>
      </c>
      <c r="AB95" s="29"/>
      <c r="AC95" s="27">
        <v>35764.895781234802</v>
      </c>
      <c r="AD95" s="27">
        <v>31553.554391103044</v>
      </c>
      <c r="AE95" s="27">
        <v>33831.022314042137</v>
      </c>
      <c r="AF95" s="27">
        <v>24627.946598280443</v>
      </c>
      <c r="AG95" s="28">
        <f t="shared" si="20"/>
        <v>125777.41908466043</v>
      </c>
      <c r="AH95" s="27">
        <v>17215.540761502092</v>
      </c>
      <c r="AI95" s="27">
        <v>12259.780573530019</v>
      </c>
      <c r="AJ95" s="27">
        <v>12289.358515220645</v>
      </c>
      <c r="AK95" s="27">
        <v>7226.8893645116186</v>
      </c>
      <c r="AL95" s="27">
        <v>6397.2740339667762</v>
      </c>
      <c r="AM95" s="27">
        <v>8613.5180046880396</v>
      </c>
      <c r="AN95" s="27">
        <v>30687.891707733317</v>
      </c>
      <c r="AO95" s="27">
        <v>52994.294970595511</v>
      </c>
      <c r="AP95" s="27">
        <v>51337.296685985799</v>
      </c>
      <c r="AQ95" s="27">
        <v>40767.137798555617</v>
      </c>
      <c r="AR95" s="27">
        <v>33095.911871195742</v>
      </c>
      <c r="AS95" s="27">
        <v>24643.056236306642</v>
      </c>
      <c r="AT95" s="28">
        <f t="shared" si="21"/>
        <v>297527.95052379183</v>
      </c>
      <c r="AU95" s="30">
        <f t="shared" si="22"/>
        <v>20.912446258610522</v>
      </c>
      <c r="AV95" s="30">
        <f t="shared" si="22"/>
        <v>20.86192788506095</v>
      </c>
      <c r="AW95" s="30">
        <f t="shared" si="22"/>
        <v>20.762650527692838</v>
      </c>
      <c r="AX95" s="30">
        <f t="shared" si="22"/>
        <v>20.770833777826581</v>
      </c>
      <c r="AY95" s="31">
        <f t="shared" si="22"/>
        <v>20.831556576377643</v>
      </c>
      <c r="AZ95" s="30">
        <f t="shared" si="22"/>
        <v>21.005659317024644</v>
      </c>
      <c r="BA95" s="30">
        <f t="shared" si="22"/>
        <v>21.005659317024655</v>
      </c>
      <c r="BB95" s="30">
        <f t="shared" si="22"/>
        <v>21.005659317024637</v>
      </c>
      <c r="BC95" s="30">
        <f t="shared" si="22"/>
        <v>21.005659317024655</v>
      </c>
      <c r="BD95" s="30">
        <f t="shared" si="22"/>
        <v>21.819650543735019</v>
      </c>
      <c r="BE95" s="30">
        <f t="shared" si="22"/>
        <v>21.845885689705632</v>
      </c>
      <c r="BF95" s="30">
        <f t="shared" si="22"/>
        <v>21.845885689705639</v>
      </c>
      <c r="BG95" s="30">
        <f t="shared" si="22"/>
        <v>21.845885689705646</v>
      </c>
      <c r="BH95" s="30">
        <f t="shared" si="22"/>
        <v>21.845885689705639</v>
      </c>
      <c r="BI95" s="30">
        <f t="shared" si="22"/>
        <v>21.845885689705643</v>
      </c>
      <c r="BJ95" s="30">
        <f t="shared" si="15"/>
        <v>21.845885689705636</v>
      </c>
      <c r="BK95" s="30">
        <f t="shared" si="15"/>
        <v>21.845885689705629</v>
      </c>
      <c r="BL95" s="31">
        <f t="shared" si="15"/>
        <v>21.702382258064866</v>
      </c>
    </row>
    <row r="96" spans="2:64" ht="15" x14ac:dyDescent="0.4">
      <c r="B96" t="s">
        <v>178</v>
      </c>
      <c r="C96" s="26">
        <v>53081</v>
      </c>
      <c r="D96" t="s">
        <v>147</v>
      </c>
      <c r="E96" t="s">
        <v>151</v>
      </c>
      <c r="F96" t="s">
        <v>32</v>
      </c>
      <c r="G96" t="s">
        <v>33</v>
      </c>
      <c r="H96" t="s">
        <v>34</v>
      </c>
      <c r="J96" s="27">
        <v>5877.8557104851443</v>
      </c>
      <c r="K96" s="27">
        <v>4204.7193728641487</v>
      </c>
      <c r="L96" s="27">
        <v>4902.9795492949843</v>
      </c>
      <c r="M96" s="27">
        <v>3565.3375979771286</v>
      </c>
      <c r="N96" s="28">
        <f t="shared" si="18"/>
        <v>18550.892230621408</v>
      </c>
      <c r="O96" s="27">
        <v>4218.0697529033441</v>
      </c>
      <c r="P96" s="27">
        <v>3003.8330094213579</v>
      </c>
      <c r="Q96" s="27">
        <v>3011.0800557341508</v>
      </c>
      <c r="R96" s="27">
        <v>1770.6979907476061</v>
      </c>
      <c r="S96" s="27">
        <v>1508.9559768451481</v>
      </c>
      <c r="T96" s="27">
        <v>2029.2722421895521</v>
      </c>
      <c r="U96" s="27">
        <v>7229.8086310295648</v>
      </c>
      <c r="V96" s="27">
        <v>12485.009228483019</v>
      </c>
      <c r="W96" s="27">
        <v>12094.634398769524</v>
      </c>
      <c r="X96" s="27">
        <v>9604.3940563077231</v>
      </c>
      <c r="Y96" s="27">
        <v>7797.1178853536903</v>
      </c>
      <c r="Z96" s="27">
        <v>5805.696343333334</v>
      </c>
      <c r="AA96" s="28">
        <f t="shared" si="19"/>
        <v>70558.569571118016</v>
      </c>
      <c r="AB96" s="29"/>
      <c r="AC96" s="27">
        <v>83285.053441979893</v>
      </c>
      <c r="AD96" s="27">
        <v>59004.876005608363</v>
      </c>
      <c r="AE96" s="27">
        <v>70800.580216870905</v>
      </c>
      <c r="AF96" s="27">
        <v>51400.300011535073</v>
      </c>
      <c r="AG96" s="28">
        <f t="shared" si="20"/>
        <v>264490.80967599421</v>
      </c>
      <c r="AH96" s="27">
        <v>60041.005964093638</v>
      </c>
      <c r="AI96" s="27">
        <v>42757.271974857773</v>
      </c>
      <c r="AJ96" s="27">
        <v>42860.428152061606</v>
      </c>
      <c r="AK96" s="27">
        <v>25204.535451294632</v>
      </c>
      <c r="AL96" s="27">
        <v>22164.340034260818</v>
      </c>
      <c r="AM96" s="27">
        <v>30040.548424003118</v>
      </c>
      <c r="AN96" s="27">
        <v>107027.24442846434</v>
      </c>
      <c r="AO96" s="27">
        <v>184823.16788490134</v>
      </c>
      <c r="AP96" s="27">
        <v>179044.21238957235</v>
      </c>
      <c r="AQ96" s="27">
        <v>142179.67344805851</v>
      </c>
      <c r="AR96" s="27">
        <v>115425.46758038648</v>
      </c>
      <c r="AS96" s="27">
        <v>85945.24603992069</v>
      </c>
      <c r="AT96" s="28">
        <f t="shared" si="21"/>
        <v>1037513.1417718753</v>
      </c>
      <c r="AU96" s="30">
        <f t="shared" si="22"/>
        <v>14.169291922803213</v>
      </c>
      <c r="AV96" s="30">
        <f t="shared" si="22"/>
        <v>14.033011664561036</v>
      </c>
      <c r="AW96" s="30">
        <f t="shared" si="22"/>
        <v>14.440317261174698</v>
      </c>
      <c r="AX96" s="30">
        <f t="shared" si="22"/>
        <v>14.416671240529409</v>
      </c>
      <c r="AY96" s="31">
        <f t="shared" si="22"/>
        <v>14.257578901752611</v>
      </c>
      <c r="AZ96" s="30">
        <f t="shared" si="22"/>
        <v>14.234237336347212</v>
      </c>
      <c r="BA96" s="30">
        <f t="shared" si="22"/>
        <v>14.234237336347237</v>
      </c>
      <c r="BB96" s="30">
        <f t="shared" si="22"/>
        <v>14.234237336347249</v>
      </c>
      <c r="BC96" s="30">
        <f t="shared" si="22"/>
        <v>14.234237336347251</v>
      </c>
      <c r="BD96" s="30">
        <f t="shared" si="22"/>
        <v>14.688526619975319</v>
      </c>
      <c r="BE96" s="30">
        <f t="shared" si="22"/>
        <v>14.803606829801137</v>
      </c>
      <c r="BF96" s="30">
        <f t="shared" si="22"/>
        <v>14.803606829801119</v>
      </c>
      <c r="BG96" s="30">
        <f t="shared" si="22"/>
        <v>14.803606829801129</v>
      </c>
      <c r="BH96" s="30">
        <f t="shared" si="22"/>
        <v>14.803606829801142</v>
      </c>
      <c r="BI96" s="30">
        <f t="shared" si="22"/>
        <v>14.803606829801144</v>
      </c>
      <c r="BJ96" s="30">
        <f t="shared" si="15"/>
        <v>14.803606829801137</v>
      </c>
      <c r="BK96" s="30">
        <f t="shared" si="15"/>
        <v>14.803606829801113</v>
      </c>
      <c r="BL96" s="31">
        <f t="shared" si="15"/>
        <v>14.704282528377165</v>
      </c>
    </row>
    <row r="97" spans="2:64" ht="15" x14ac:dyDescent="0.4">
      <c r="B97" t="s">
        <v>179</v>
      </c>
      <c r="C97" s="26">
        <v>53083</v>
      </c>
      <c r="D97" t="s">
        <v>147</v>
      </c>
      <c r="E97" t="s">
        <v>151</v>
      </c>
      <c r="F97" t="s">
        <v>32</v>
      </c>
      <c r="G97" t="s">
        <v>33</v>
      </c>
      <c r="H97" t="s">
        <v>34</v>
      </c>
      <c r="J97" s="27">
        <v>21349.00373833298</v>
      </c>
      <c r="K97" s="27">
        <v>12342.277719376036</v>
      </c>
      <c r="L97" s="27">
        <v>16027.544120487295</v>
      </c>
      <c r="M97" s="27">
        <v>13182.255327160872</v>
      </c>
      <c r="N97" s="28">
        <f t="shared" si="18"/>
        <v>62901.080905357179</v>
      </c>
      <c r="O97" s="27">
        <v>6577.5708704001881</v>
      </c>
      <c r="P97" s="27">
        <v>4684.1151663546761</v>
      </c>
      <c r="Q97" s="27">
        <v>4695.4160607248268</v>
      </c>
      <c r="R97" s="27">
        <v>2761.1898822206358</v>
      </c>
      <c r="S97" s="27">
        <v>2353.0347906601728</v>
      </c>
      <c r="T97" s="27">
        <v>3164.4052304138199</v>
      </c>
      <c r="U97" s="27">
        <v>11274.014285158642</v>
      </c>
      <c r="V97" s="27">
        <v>19468.865578010595</v>
      </c>
      <c r="W97" s="27">
        <v>18860.123129715706</v>
      </c>
      <c r="X97" s="27">
        <v>14976.893762634294</v>
      </c>
      <c r="Y97" s="27">
        <v>12158.664621531685</v>
      </c>
      <c r="Z97" s="27">
        <v>9053.2829913524802</v>
      </c>
      <c r="AA97" s="28">
        <f t="shared" si="19"/>
        <v>110027.57636917772</v>
      </c>
      <c r="AB97" s="29"/>
      <c r="AC97" s="27">
        <v>385360.28857496503</v>
      </c>
      <c r="AD97" s="27">
        <v>216865.10637684845</v>
      </c>
      <c r="AE97" s="27">
        <v>292132.22878869384</v>
      </c>
      <c r="AF97" s="27">
        <v>241669.06931833722</v>
      </c>
      <c r="AG97" s="28">
        <f t="shared" si="20"/>
        <v>1136026.6930588444</v>
      </c>
      <c r="AH97" s="27">
        <v>112459.01674877013</v>
      </c>
      <c r="AI97" s="27">
        <v>80085.94606206032</v>
      </c>
      <c r="AJ97" s="27">
        <v>80279.161383383194</v>
      </c>
      <c r="AK97" s="27">
        <v>47209.023715512209</v>
      </c>
      <c r="AL97" s="27">
        <v>41412.022559573801</v>
      </c>
      <c r="AM97" s="27">
        <v>56267.054225865963</v>
      </c>
      <c r="AN97" s="27">
        <v>200465.97288781885</v>
      </c>
      <c r="AO97" s="27">
        <v>346180.60438825662</v>
      </c>
      <c r="AP97" s="27">
        <v>335356.40778455016</v>
      </c>
      <c r="AQ97" s="27">
        <v>266307.76784772729</v>
      </c>
      <c r="AR97" s="27">
        <v>216196.15433525719</v>
      </c>
      <c r="AS97" s="27">
        <v>160978.61301092728</v>
      </c>
      <c r="AT97" s="28">
        <f t="shared" si="21"/>
        <v>1943197.7449497031</v>
      </c>
      <c r="AU97" s="30">
        <f t="shared" si="22"/>
        <v>18.050504524622635</v>
      </c>
      <c r="AV97" s="30">
        <f t="shared" si="22"/>
        <v>17.570914486585711</v>
      </c>
      <c r="AW97" s="30">
        <f t="shared" si="22"/>
        <v>18.226886576794648</v>
      </c>
      <c r="AX97" s="30">
        <f t="shared" si="22"/>
        <v>18.332907633824956</v>
      </c>
      <c r="AY97" s="31">
        <f t="shared" si="22"/>
        <v>18.060527366264878</v>
      </c>
      <c r="AZ97" s="30">
        <f t="shared" si="22"/>
        <v>17.097347784551953</v>
      </c>
      <c r="BA97" s="30">
        <f t="shared" si="22"/>
        <v>17.097347784551953</v>
      </c>
      <c r="BB97" s="30">
        <f t="shared" si="22"/>
        <v>17.097347784551935</v>
      </c>
      <c r="BC97" s="30">
        <f t="shared" si="22"/>
        <v>17.097347784551935</v>
      </c>
      <c r="BD97" s="30">
        <f t="shared" si="22"/>
        <v>17.59940937717931</v>
      </c>
      <c r="BE97" s="30">
        <f t="shared" si="22"/>
        <v>17.781241695934035</v>
      </c>
      <c r="BF97" s="30">
        <f t="shared" si="22"/>
        <v>17.781241695934039</v>
      </c>
      <c r="BG97" s="30">
        <f t="shared" si="22"/>
        <v>17.781241695934021</v>
      </c>
      <c r="BH97" s="30">
        <f t="shared" si="22"/>
        <v>17.781241695934</v>
      </c>
      <c r="BI97" s="30">
        <f t="shared" si="22"/>
        <v>17.781241695934035</v>
      </c>
      <c r="BJ97" s="30">
        <f t="shared" si="15"/>
        <v>17.781241695934032</v>
      </c>
      <c r="BK97" s="30">
        <f t="shared" si="15"/>
        <v>17.781241695934053</v>
      </c>
      <c r="BL97" s="31">
        <f t="shared" si="15"/>
        <v>17.661006531941165</v>
      </c>
    </row>
    <row r="98" spans="2:64" ht="15" x14ac:dyDescent="0.4">
      <c r="B98" t="s">
        <v>180</v>
      </c>
      <c r="C98" s="26">
        <v>510010</v>
      </c>
      <c r="D98" t="s">
        <v>147</v>
      </c>
      <c r="E98" t="s">
        <v>151</v>
      </c>
      <c r="F98" t="s">
        <v>32</v>
      </c>
      <c r="G98" t="s">
        <v>33</v>
      </c>
      <c r="H98" t="s">
        <v>34</v>
      </c>
      <c r="J98" s="27">
        <v>15459.056410949261</v>
      </c>
      <c r="K98" s="27">
        <v>12257.233943349658</v>
      </c>
      <c r="L98" s="27">
        <v>9693.3968377984293</v>
      </c>
      <c r="M98" s="27">
        <v>7118.973653264954</v>
      </c>
      <c r="N98" s="28">
        <f t="shared" si="18"/>
        <v>44528.660845362305</v>
      </c>
      <c r="O98" s="27">
        <v>9421.6296743028615</v>
      </c>
      <c r="P98" s="27">
        <v>6709.4675707377546</v>
      </c>
      <c r="Q98" s="27">
        <v>6725.6548295057391</v>
      </c>
      <c r="R98" s="27">
        <v>3955.0936118050577</v>
      </c>
      <c r="S98" s="27">
        <v>3370.4573991161169</v>
      </c>
      <c r="T98" s="27">
        <v>4532.6541983077414</v>
      </c>
      <c r="U98" s="27">
        <v>16148.756072787508</v>
      </c>
      <c r="V98" s="27">
        <v>27886.957855558321</v>
      </c>
      <c r="W98" s="27">
        <v>27015.002839357381</v>
      </c>
      <c r="X98" s="27">
        <v>21452.714000834752</v>
      </c>
      <c r="Y98" s="27">
        <v>17415.918072981531</v>
      </c>
      <c r="Z98" s="27">
        <v>12967.808536283937</v>
      </c>
      <c r="AA98" s="28">
        <f t="shared" si="19"/>
        <v>157602.1146615787</v>
      </c>
      <c r="AB98" s="29"/>
      <c r="AC98" s="27">
        <v>295923.66047475027</v>
      </c>
      <c r="AD98" s="27">
        <v>233901.21969203156</v>
      </c>
      <c r="AE98" s="27">
        <v>185140.05686406116</v>
      </c>
      <c r="AF98" s="27">
        <v>135805.28352442413</v>
      </c>
      <c r="AG98" s="28">
        <f t="shared" si="20"/>
        <v>850770.22055526706</v>
      </c>
      <c r="AH98" s="27">
        <v>188912.12069115206</v>
      </c>
      <c r="AI98" s="27">
        <v>134530.83928289375</v>
      </c>
      <c r="AJ98" s="27">
        <v>134855.40833174714</v>
      </c>
      <c r="AK98" s="27">
        <v>79303.172335035153</v>
      </c>
      <c r="AL98" s="27">
        <v>69790.247137032726</v>
      </c>
      <c r="AM98" s="27">
        <v>94519.131023512629</v>
      </c>
      <c r="AN98" s="27">
        <v>336748.91671207082</v>
      </c>
      <c r="AO98" s="27">
        <v>581524.84351901105</v>
      </c>
      <c r="AP98" s="27">
        <v>563342.02461928606</v>
      </c>
      <c r="AQ98" s="27">
        <v>447351.99217533052</v>
      </c>
      <c r="AR98" s="27">
        <v>363172.96008362726</v>
      </c>
      <c r="AS98" s="27">
        <v>270416.83316288772</v>
      </c>
      <c r="AT98" s="28">
        <f t="shared" si="21"/>
        <v>3264468.4890735867</v>
      </c>
      <c r="AU98" s="30">
        <f t="shared" si="22"/>
        <v>19.142414168639359</v>
      </c>
      <c r="AV98" s="30">
        <f t="shared" si="22"/>
        <v>19.082708282559793</v>
      </c>
      <c r="AW98" s="30">
        <f t="shared" si="22"/>
        <v>19.099605634850938</v>
      </c>
      <c r="AX98" s="30">
        <f t="shared" si="22"/>
        <v>19.076525653686069</v>
      </c>
      <c r="AY98" s="31">
        <f t="shared" si="22"/>
        <v>19.106126355557702</v>
      </c>
      <c r="AZ98" s="30">
        <f t="shared" si="22"/>
        <v>20.05089641831314</v>
      </c>
      <c r="BA98" s="30">
        <f t="shared" si="22"/>
        <v>20.05089641831313</v>
      </c>
      <c r="BB98" s="30">
        <f t="shared" si="22"/>
        <v>20.050896418313148</v>
      </c>
      <c r="BC98" s="30">
        <f t="shared" si="22"/>
        <v>20.050896418313126</v>
      </c>
      <c r="BD98" s="30">
        <f t="shared" si="22"/>
        <v>20.70646172692609</v>
      </c>
      <c r="BE98" s="30">
        <f t="shared" si="22"/>
        <v>20.852932275045642</v>
      </c>
      <c r="BF98" s="30">
        <f t="shared" si="22"/>
        <v>20.852932275045696</v>
      </c>
      <c r="BG98" s="30">
        <f t="shared" si="22"/>
        <v>20.852932275045688</v>
      </c>
      <c r="BH98" s="30">
        <f t="shared" si="22"/>
        <v>20.852932275045674</v>
      </c>
      <c r="BI98" s="30">
        <f t="shared" si="22"/>
        <v>20.852932275045642</v>
      </c>
      <c r="BJ98" s="30">
        <f t="shared" si="15"/>
        <v>20.852932275045642</v>
      </c>
      <c r="BK98" s="30">
        <f t="shared" si="15"/>
        <v>20.852932275045642</v>
      </c>
      <c r="BL98" s="31">
        <f t="shared" si="15"/>
        <v>20.713354615091472</v>
      </c>
    </row>
    <row r="99" spans="2:64" ht="15" x14ac:dyDescent="0.4">
      <c r="B99" t="s">
        <v>181</v>
      </c>
      <c r="C99" s="26">
        <v>510013</v>
      </c>
      <c r="D99" t="s">
        <v>147</v>
      </c>
      <c r="E99" t="s">
        <v>151</v>
      </c>
      <c r="F99" t="s">
        <v>32</v>
      </c>
      <c r="G99" t="s">
        <v>33</v>
      </c>
      <c r="H99" t="s">
        <v>34</v>
      </c>
      <c r="J99" s="27">
        <v>8533.4709970165186</v>
      </c>
      <c r="K99" s="27">
        <v>4533.8807041386099</v>
      </c>
      <c r="L99" s="27">
        <v>4124.4654057878261</v>
      </c>
      <c r="M99" s="27">
        <v>3122.9403439844282</v>
      </c>
      <c r="N99" s="28">
        <f t="shared" si="18"/>
        <v>20314.757450927384</v>
      </c>
      <c r="O99" s="27">
        <v>3667.2743784146087</v>
      </c>
      <c r="P99" s="27">
        <v>2611.5926188524159</v>
      </c>
      <c r="Q99" s="27">
        <v>2617.8933461563706</v>
      </c>
      <c r="R99" s="27">
        <v>1539.4803200941101</v>
      </c>
      <c r="S99" s="27">
        <v>1311.9165675794864</v>
      </c>
      <c r="T99" s="27">
        <v>1764.2899564397617</v>
      </c>
      <c r="U99" s="27">
        <v>6285.7405179622474</v>
      </c>
      <c r="V99" s="27">
        <v>10854.717237990373</v>
      </c>
      <c r="W99" s="27">
        <v>10515.3175374518</v>
      </c>
      <c r="X99" s="27">
        <v>8350.2526762747784</v>
      </c>
      <c r="Y99" s="27">
        <v>6778.9705532380676</v>
      </c>
      <c r="Z99" s="27">
        <v>5047.5887540993908</v>
      </c>
      <c r="AA99" s="28">
        <f t="shared" si="19"/>
        <v>61345.034464553413</v>
      </c>
      <c r="AB99" s="29"/>
      <c r="AC99" s="27">
        <v>167911.20659398884</v>
      </c>
      <c r="AD99" s="27">
        <v>82438.596202854053</v>
      </c>
      <c r="AE99" s="27">
        <v>77131.890131927095</v>
      </c>
      <c r="AF99" s="27">
        <v>58657.270450587399</v>
      </c>
      <c r="AG99" s="28">
        <f t="shared" si="20"/>
        <v>386138.96337935736</v>
      </c>
      <c r="AH99" s="27">
        <v>68353.303771914463</v>
      </c>
      <c r="AI99" s="27">
        <v>48676.74604758661</v>
      </c>
      <c r="AJ99" s="27">
        <v>48794.18354556222</v>
      </c>
      <c r="AK99" s="27">
        <v>28693.944088189077</v>
      </c>
      <c r="AL99" s="27">
        <v>25395.211823105794</v>
      </c>
      <c r="AM99" s="27">
        <v>34199.472492662273</v>
      </c>
      <c r="AN99" s="27">
        <v>121844.48999180261</v>
      </c>
      <c r="AO99" s="27">
        <v>210410.76736920915</v>
      </c>
      <c r="AP99" s="27">
        <v>203831.75200939272</v>
      </c>
      <c r="AQ99" s="27">
        <v>161863.55064068502</v>
      </c>
      <c r="AR99" s="27">
        <v>131405.39406111414</v>
      </c>
      <c r="AS99" s="27">
        <v>97843.822167667488</v>
      </c>
      <c r="AT99" s="28">
        <f t="shared" si="21"/>
        <v>1181312.6380088916</v>
      </c>
      <c r="AU99" s="30">
        <f t="shared" si="22"/>
        <v>19.676777087857232</v>
      </c>
      <c r="AV99" s="30">
        <f t="shared" si="22"/>
        <v>18.182789001837339</v>
      </c>
      <c r="AW99" s="30">
        <f t="shared" si="22"/>
        <v>18.701063663593491</v>
      </c>
      <c r="AX99" s="30">
        <f t="shared" si="22"/>
        <v>18.782706036500542</v>
      </c>
      <c r="AY99" s="31">
        <f t="shared" si="22"/>
        <v>19.007805744770526</v>
      </c>
      <c r="AZ99" s="30">
        <f t="shared" si="22"/>
        <v>18.638720946062435</v>
      </c>
      <c r="BA99" s="30">
        <f t="shared" si="22"/>
        <v>18.638720946062449</v>
      </c>
      <c r="BB99" s="30">
        <f t="shared" si="22"/>
        <v>18.638720946062435</v>
      </c>
      <c r="BC99" s="30">
        <f t="shared" si="22"/>
        <v>18.638720946062492</v>
      </c>
      <c r="BD99" s="30">
        <f t="shared" si="22"/>
        <v>19.357337540115445</v>
      </c>
      <c r="BE99" s="30">
        <f t="shared" si="22"/>
        <v>19.384269783904962</v>
      </c>
      <c r="BF99" s="30">
        <f t="shared" si="22"/>
        <v>19.384269783904944</v>
      </c>
      <c r="BG99" s="30">
        <f t="shared" si="22"/>
        <v>19.384269783904966</v>
      </c>
      <c r="BH99" s="30">
        <f t="shared" si="22"/>
        <v>19.384269783904948</v>
      </c>
      <c r="BI99" s="30">
        <f t="shared" si="22"/>
        <v>19.384269783904998</v>
      </c>
      <c r="BJ99" s="30">
        <f t="shared" si="15"/>
        <v>19.384269783904958</v>
      </c>
      <c r="BK99" s="30">
        <f t="shared" si="15"/>
        <v>19.384269783904998</v>
      </c>
      <c r="BL99" s="31">
        <f t="shared" si="15"/>
        <v>19.256858331239204</v>
      </c>
    </row>
    <row r="100" spans="2:64" ht="15" x14ac:dyDescent="0.4">
      <c r="B100" t="s">
        <v>182</v>
      </c>
      <c r="C100" s="26">
        <v>510008</v>
      </c>
      <c r="D100" t="s">
        <v>147</v>
      </c>
      <c r="E100" t="s">
        <v>151</v>
      </c>
      <c r="F100" t="s">
        <v>32</v>
      </c>
      <c r="G100" t="s">
        <v>33</v>
      </c>
      <c r="H100" t="s">
        <v>34</v>
      </c>
      <c r="J100" s="27">
        <v>22831.460812774196</v>
      </c>
      <c r="K100" s="27">
        <v>14858.396337048442</v>
      </c>
      <c r="L100" s="27">
        <v>12360.918120536922</v>
      </c>
      <c r="M100" s="27">
        <v>9878.9686817019592</v>
      </c>
      <c r="N100" s="28">
        <f t="shared" si="18"/>
        <v>59929.743952061523</v>
      </c>
      <c r="O100" s="27">
        <v>11727.941424058168</v>
      </c>
      <c r="P100" s="27">
        <v>8351.8717436803436</v>
      </c>
      <c r="Q100" s="27">
        <v>8372.0214660967122</v>
      </c>
      <c r="R100" s="27">
        <v>4923.2572080847103</v>
      </c>
      <c r="S100" s="27">
        <v>4195.5084540129792</v>
      </c>
      <c r="T100" s="27">
        <v>5642.1983001786675</v>
      </c>
      <c r="U100" s="27">
        <v>20101.794683101831</v>
      </c>
      <c r="V100" s="27">
        <v>34713.379694513125</v>
      </c>
      <c r="W100" s="27">
        <v>33627.979640814294</v>
      </c>
      <c r="X100" s="27">
        <v>26704.103418019222</v>
      </c>
      <c r="Y100" s="27">
        <v>21679.144061798062</v>
      </c>
      <c r="Z100" s="27">
        <v>16142.186030379384</v>
      </c>
      <c r="AA100" s="28">
        <f t="shared" si="19"/>
        <v>196181.38612473747</v>
      </c>
      <c r="AB100" s="29"/>
      <c r="AC100" s="27">
        <v>435252.16423560103</v>
      </c>
      <c r="AD100" s="27">
        <v>271894.58596503816</v>
      </c>
      <c r="AE100" s="27">
        <v>227558.43430483533</v>
      </c>
      <c r="AF100" s="27">
        <v>185278.09328177443</v>
      </c>
      <c r="AG100" s="28">
        <f t="shared" si="20"/>
        <v>1119983.2777872491</v>
      </c>
      <c r="AH100" s="27">
        <v>229626.7324808939</v>
      </c>
      <c r="AI100" s="27">
        <v>163525.11913699558</v>
      </c>
      <c r="AJ100" s="27">
        <v>163919.63977378674</v>
      </c>
      <c r="AK100" s="27">
        <v>96394.706025425534</v>
      </c>
      <c r="AL100" s="27">
        <v>84883.79214023336</v>
      </c>
      <c r="AM100" s="27">
        <v>114890.03000154883</v>
      </c>
      <c r="AN100" s="27">
        <v>409325.52727780025</v>
      </c>
      <c r="AO100" s="27">
        <v>706855.91366603924</v>
      </c>
      <c r="AP100" s="27">
        <v>684754.30750143761</v>
      </c>
      <c r="AQ100" s="27">
        <v>543765.93654348131</v>
      </c>
      <c r="AR100" s="27">
        <v>441444.51845817082</v>
      </c>
      <c r="AS100" s="27">
        <v>328697.45773772988</v>
      </c>
      <c r="AT100" s="28">
        <f t="shared" si="21"/>
        <v>3968083.6807435434</v>
      </c>
      <c r="AU100" s="30">
        <f t="shared" si="22"/>
        <v>19.063701959538111</v>
      </c>
      <c r="AV100" s="30">
        <f t="shared" si="22"/>
        <v>18.299053262369018</v>
      </c>
      <c r="AW100" s="30">
        <f t="shared" si="22"/>
        <v>18.409509074148843</v>
      </c>
      <c r="AX100" s="30">
        <f t="shared" si="22"/>
        <v>18.754801159047155</v>
      </c>
      <c r="AY100" s="31">
        <f t="shared" si="22"/>
        <v>18.688270697153925</v>
      </c>
      <c r="AZ100" s="30">
        <f t="shared" si="22"/>
        <v>19.579457653996123</v>
      </c>
      <c r="BA100" s="30">
        <f t="shared" si="22"/>
        <v>19.579457653996066</v>
      </c>
      <c r="BB100" s="30">
        <f t="shared" si="22"/>
        <v>19.579457653996077</v>
      </c>
      <c r="BC100" s="30">
        <f t="shared" si="22"/>
        <v>19.579457653996077</v>
      </c>
      <c r="BD100" s="30">
        <f t="shared" si="22"/>
        <v>20.232063186296887</v>
      </c>
      <c r="BE100" s="30">
        <f t="shared" si="22"/>
        <v>20.362635960155934</v>
      </c>
      <c r="BF100" s="30">
        <f t="shared" si="22"/>
        <v>20.362635960155913</v>
      </c>
      <c r="BG100" s="30">
        <f t="shared" si="22"/>
        <v>20.36263596015592</v>
      </c>
      <c r="BH100" s="30">
        <f t="shared" si="22"/>
        <v>20.362635960155959</v>
      </c>
      <c r="BI100" s="30">
        <f t="shared" si="22"/>
        <v>20.362635960155938</v>
      </c>
      <c r="BJ100" s="30">
        <f t="shared" si="15"/>
        <v>20.362635960155963</v>
      </c>
      <c r="BK100" s="30">
        <f t="shared" si="15"/>
        <v>20.362635960155927</v>
      </c>
      <c r="BL100" s="31">
        <f t="shared" si="15"/>
        <v>20.226606403017907</v>
      </c>
    </row>
    <row r="101" spans="2:64" ht="15" x14ac:dyDescent="0.4">
      <c r="B101" t="s">
        <v>183</v>
      </c>
      <c r="C101" s="26">
        <v>510002</v>
      </c>
      <c r="D101" t="s">
        <v>147</v>
      </c>
      <c r="E101" t="s">
        <v>151</v>
      </c>
      <c r="F101" t="s">
        <v>32</v>
      </c>
      <c r="G101" t="s">
        <v>33</v>
      </c>
      <c r="H101" t="s">
        <v>34</v>
      </c>
      <c r="J101" s="27">
        <v>57890.121285809335</v>
      </c>
      <c r="K101" s="27">
        <v>38453.019159561445</v>
      </c>
      <c r="L101" s="27">
        <v>46051.61089839357</v>
      </c>
      <c r="M101" s="27">
        <v>34346.082010027778</v>
      </c>
      <c r="N101" s="28">
        <f t="shared" si="18"/>
        <v>176740.83335379214</v>
      </c>
      <c r="O101" s="27">
        <v>22465.391662832924</v>
      </c>
      <c r="P101" s="27">
        <v>15998.380538858599</v>
      </c>
      <c r="Q101" s="27">
        <v>16036.978225324936</v>
      </c>
      <c r="R101" s="27">
        <v>9430.7174155561861</v>
      </c>
      <c r="S101" s="27">
        <v>8036.6824181761604</v>
      </c>
      <c r="T101" s="27">
        <v>10807.880946000128</v>
      </c>
      <c r="U101" s="27">
        <v>38505.878768745642</v>
      </c>
      <c r="V101" s="27">
        <v>66495.017546567833</v>
      </c>
      <c r="W101" s="27">
        <v>64415.885631125107</v>
      </c>
      <c r="X101" s="27">
        <v>51152.893811351358</v>
      </c>
      <c r="Y101" s="27">
        <v>41527.361422883623</v>
      </c>
      <c r="Z101" s="27">
        <v>30921.072876683906</v>
      </c>
      <c r="AA101" s="28">
        <f t="shared" si="19"/>
        <v>375794.14126410644</v>
      </c>
      <c r="AB101" s="29"/>
      <c r="AC101" s="27">
        <v>1074817.1242205657</v>
      </c>
      <c r="AD101" s="27">
        <v>694316.65739952575</v>
      </c>
      <c r="AE101" s="27">
        <v>875504.85512875335</v>
      </c>
      <c r="AF101" s="27">
        <v>653026.8046825917</v>
      </c>
      <c r="AG101" s="28">
        <f t="shared" si="20"/>
        <v>3297665.4414314367</v>
      </c>
      <c r="AH101" s="27">
        <v>428521.72218087263</v>
      </c>
      <c r="AI101" s="27">
        <v>305165.10388549033</v>
      </c>
      <c r="AJ101" s="27">
        <v>305901.34509263164</v>
      </c>
      <c r="AK101" s="27">
        <v>179888.57389925732</v>
      </c>
      <c r="AL101" s="27">
        <v>158030.10810370542</v>
      </c>
      <c r="AM101" s="27">
        <v>214403.92843534556</v>
      </c>
      <c r="AN101" s="27">
        <v>763869.59822402929</v>
      </c>
      <c r="AO101" s="27">
        <v>1319110.8464826008</v>
      </c>
      <c r="AP101" s="27">
        <v>1277865.5688344203</v>
      </c>
      <c r="AQ101" s="27">
        <v>1014757.7900595507</v>
      </c>
      <c r="AR101" s="27">
        <v>823808.98449069308</v>
      </c>
      <c r="AS101" s="27">
        <v>613404.19359913433</v>
      </c>
      <c r="AT101" s="28">
        <f t="shared" si="21"/>
        <v>7404727.7632877324</v>
      </c>
      <c r="AU101" s="30">
        <f t="shared" si="22"/>
        <v>18.566503236607257</v>
      </c>
      <c r="AV101" s="30">
        <f t="shared" si="22"/>
        <v>18.056232581333788</v>
      </c>
      <c r="AW101" s="30">
        <f t="shared" si="22"/>
        <v>19.011383924450161</v>
      </c>
      <c r="AX101" s="30">
        <f t="shared" si="22"/>
        <v>19.013138223216615</v>
      </c>
      <c r="AY101" s="31">
        <f t="shared" si="22"/>
        <v>18.658197875701497</v>
      </c>
      <c r="AZ101" s="30">
        <f t="shared" si="22"/>
        <v>19.074749668835079</v>
      </c>
      <c r="BA101" s="30">
        <f t="shared" si="22"/>
        <v>19.074749668835061</v>
      </c>
      <c r="BB101" s="30">
        <f t="shared" si="22"/>
        <v>19.074749668835043</v>
      </c>
      <c r="BC101" s="30">
        <f t="shared" si="22"/>
        <v>19.07474966883505</v>
      </c>
      <c r="BD101" s="30">
        <f t="shared" si="22"/>
        <v>19.66359996337502</v>
      </c>
      <c r="BE101" s="30">
        <f t="shared" si="22"/>
        <v>19.83773965558845</v>
      </c>
      <c r="BF101" s="30">
        <f t="shared" si="22"/>
        <v>19.837739655588514</v>
      </c>
      <c r="BG101" s="30">
        <f t="shared" si="22"/>
        <v>19.837739655588486</v>
      </c>
      <c r="BH101" s="30">
        <f t="shared" si="22"/>
        <v>19.837739655588443</v>
      </c>
      <c r="BI101" s="30">
        <f t="shared" si="22"/>
        <v>19.837739655588464</v>
      </c>
      <c r="BJ101" s="30">
        <f t="shared" si="15"/>
        <v>19.837739655588464</v>
      </c>
      <c r="BK101" s="30">
        <f t="shared" si="15"/>
        <v>19.8377396555885</v>
      </c>
      <c r="BL101" s="31">
        <f t="shared" si="15"/>
        <v>19.704212892674459</v>
      </c>
    </row>
    <row r="102" spans="2:64" ht="15" x14ac:dyDescent="0.4">
      <c r="B102" t="s">
        <v>184</v>
      </c>
      <c r="C102" s="26">
        <v>52195</v>
      </c>
      <c r="D102" t="s">
        <v>147</v>
      </c>
      <c r="E102" t="s">
        <v>148</v>
      </c>
      <c r="F102" t="s">
        <v>32</v>
      </c>
      <c r="G102" t="s">
        <v>33</v>
      </c>
      <c r="H102" t="s">
        <v>34</v>
      </c>
      <c r="J102" s="27">
        <v>6117.4096769469515</v>
      </c>
      <c r="K102" s="27">
        <v>3680.268465870859</v>
      </c>
      <c r="L102" s="27">
        <v>7040.5412981255731</v>
      </c>
      <c r="M102" s="27">
        <v>7398.6883538342463</v>
      </c>
      <c r="N102" s="28">
        <f t="shared" si="18"/>
        <v>24236.907794777631</v>
      </c>
      <c r="O102" s="27">
        <v>7064.1723588153909</v>
      </c>
      <c r="P102" s="27">
        <v>5030.6408757337249</v>
      </c>
      <c r="Q102" s="27">
        <v>5042.7777978912327</v>
      </c>
      <c r="R102" s="27">
        <v>2965.4596853073472</v>
      </c>
      <c r="S102" s="27">
        <v>2527.109727135668</v>
      </c>
      <c r="T102" s="27">
        <v>3398.5044633080711</v>
      </c>
      <c r="U102" s="27">
        <v>12108.053513266386</v>
      </c>
      <c r="V102" s="27">
        <v>20909.150928739</v>
      </c>
      <c r="W102" s="27">
        <v>20255.374380890062</v>
      </c>
      <c r="X102" s="27">
        <v>16084.867958629658</v>
      </c>
      <c r="Y102" s="27">
        <v>13058.149312544781</v>
      </c>
      <c r="Z102" s="27">
        <v>9723.0349507666888</v>
      </c>
      <c r="AA102" s="28">
        <f t="shared" si="19"/>
        <v>118167.29595302802</v>
      </c>
      <c r="AB102" s="29"/>
      <c r="AC102" s="27">
        <v>78731.465108378979</v>
      </c>
      <c r="AD102" s="27">
        <v>48020.757781303233</v>
      </c>
      <c r="AE102" s="27">
        <v>89853.773589883131</v>
      </c>
      <c r="AF102" s="27">
        <v>94173.683324589176</v>
      </c>
      <c r="AG102" s="28">
        <f t="shared" si="20"/>
        <v>310779.6798041545</v>
      </c>
      <c r="AH102" s="27">
        <v>91411.861087230805</v>
      </c>
      <c r="AI102" s="27">
        <v>65097.540313899175</v>
      </c>
      <c r="AJ102" s="27">
        <v>65254.594613530397</v>
      </c>
      <c r="AK102" s="27">
        <v>38373.665738042168</v>
      </c>
      <c r="AL102" s="27">
        <v>33157.552663216607</v>
      </c>
      <c r="AM102" s="27">
        <v>45736.449538527515</v>
      </c>
      <c r="AN102" s="27">
        <v>162947.96269893859</v>
      </c>
      <c r="AO102" s="27">
        <v>281391.5169659261</v>
      </c>
      <c r="AP102" s="27">
        <v>272593.11213433085</v>
      </c>
      <c r="AQ102" s="27">
        <v>216467.20187257187</v>
      </c>
      <c r="AR102" s="27">
        <v>175734.17765013644</v>
      </c>
      <c r="AS102" s="27">
        <v>130850.82046772323</v>
      </c>
      <c r="AT102" s="28">
        <f t="shared" si="21"/>
        <v>1579016.4557440737</v>
      </c>
      <c r="AU102" s="30">
        <f t="shared" si="22"/>
        <v>12.870065806622897</v>
      </c>
      <c r="AV102" s="30">
        <f t="shared" si="22"/>
        <v>13.048167063524296</v>
      </c>
      <c r="AW102" s="30">
        <f t="shared" si="22"/>
        <v>12.762338829516588</v>
      </c>
      <c r="AX102" s="30">
        <f t="shared" si="22"/>
        <v>12.728429529780808</v>
      </c>
      <c r="AY102" s="31">
        <f t="shared" si="22"/>
        <v>12.822579614348276</v>
      </c>
      <c r="AZ102" s="30">
        <f t="shared" si="22"/>
        <v>12.940208200491854</v>
      </c>
      <c r="BA102" s="30">
        <f t="shared" si="22"/>
        <v>12.940208200491876</v>
      </c>
      <c r="BB102" s="30">
        <f t="shared" si="22"/>
        <v>12.940208200491856</v>
      </c>
      <c r="BC102" s="30">
        <f t="shared" si="22"/>
        <v>12.940208200491869</v>
      </c>
      <c r="BD102" s="30">
        <f t="shared" si="22"/>
        <v>13.120741180003595</v>
      </c>
      <c r="BE102" s="30">
        <f t="shared" si="22"/>
        <v>13.457816528511515</v>
      </c>
      <c r="BF102" s="30">
        <f t="shared" si="22"/>
        <v>13.45781652851154</v>
      </c>
      <c r="BG102" s="30">
        <f t="shared" si="22"/>
        <v>13.457816528511538</v>
      </c>
      <c r="BH102" s="30">
        <f t="shared" si="22"/>
        <v>13.457816528511509</v>
      </c>
      <c r="BI102" s="30">
        <f t="shared" si="22"/>
        <v>13.457816528511538</v>
      </c>
      <c r="BJ102" s="30">
        <f t="shared" si="15"/>
        <v>13.457816528511515</v>
      </c>
      <c r="BK102" s="30">
        <f t="shared" si="15"/>
        <v>13.457816528511529</v>
      </c>
      <c r="BL102" s="31">
        <f t="shared" si="15"/>
        <v>13.362550467193048</v>
      </c>
    </row>
    <row r="103" spans="2:64" ht="15" x14ac:dyDescent="0.4">
      <c r="B103" t="s">
        <v>185</v>
      </c>
      <c r="C103" s="26">
        <v>52196</v>
      </c>
      <c r="D103" t="s">
        <v>147</v>
      </c>
      <c r="E103" t="s">
        <v>148</v>
      </c>
      <c r="F103" t="s">
        <v>32</v>
      </c>
      <c r="G103" t="s">
        <v>33</v>
      </c>
      <c r="H103" t="s">
        <v>34</v>
      </c>
      <c r="J103" s="27">
        <v>12942.009320288786</v>
      </c>
      <c r="K103" s="27">
        <v>5780.411426031711</v>
      </c>
      <c r="L103" s="27">
        <v>6612.8180023173209</v>
      </c>
      <c r="M103" s="27">
        <v>4484.8833626537535</v>
      </c>
      <c r="N103" s="28">
        <f t="shared" si="18"/>
        <v>29820.122111291566</v>
      </c>
      <c r="O103" s="27">
        <v>5002.7184111237329</v>
      </c>
      <c r="P103" s="27">
        <v>3562.6083921039863</v>
      </c>
      <c r="Q103" s="27">
        <v>3571.2035396807505</v>
      </c>
      <c r="R103" s="27">
        <v>2100.0846258541792</v>
      </c>
      <c r="S103" s="27">
        <v>1789.6531563382639</v>
      </c>
      <c r="T103" s="27">
        <v>2406.7590632412748</v>
      </c>
      <c r="U103" s="27">
        <v>8574.7033278569106</v>
      </c>
      <c r="V103" s="27">
        <v>14807.480480234015</v>
      </c>
      <c r="W103" s="27">
        <v>14344.487817179344</v>
      </c>
      <c r="X103" s="27">
        <v>11391.01100452547</v>
      </c>
      <c r="Y103" s="27">
        <v>9247.5438965684007</v>
      </c>
      <c r="Z103" s="27">
        <v>6885.67655055868</v>
      </c>
      <c r="AA103" s="28">
        <f t="shared" si="19"/>
        <v>83683.930265265008</v>
      </c>
      <c r="AB103" s="29"/>
      <c r="AC103" s="27">
        <v>209600.07457169134</v>
      </c>
      <c r="AD103" s="27">
        <v>94634.248806662945</v>
      </c>
      <c r="AE103" s="27">
        <v>106758.04311321302</v>
      </c>
      <c r="AF103" s="27">
        <v>72159.768905565914</v>
      </c>
      <c r="AG103" s="28">
        <f t="shared" si="20"/>
        <v>483152.13539713324</v>
      </c>
      <c r="AH103" s="27">
        <v>79585.245405654234</v>
      </c>
      <c r="AI103" s="27">
        <v>56675.399226827984</v>
      </c>
      <c r="AJ103" s="27">
        <v>56812.134272253163</v>
      </c>
      <c r="AK103" s="27">
        <v>33408.986192309872</v>
      </c>
      <c r="AL103" s="27">
        <v>29144.605744115019</v>
      </c>
      <c r="AM103" s="27">
        <v>39819.193233945676</v>
      </c>
      <c r="AN103" s="27">
        <v>141866.20254204576</v>
      </c>
      <c r="AO103" s="27">
        <v>244985.85486004135</v>
      </c>
      <c r="AP103" s="27">
        <v>237325.76349583006</v>
      </c>
      <c r="AQ103" s="27">
        <v>188461.26945018998</v>
      </c>
      <c r="AR103" s="27">
        <v>152998.17209826675</v>
      </c>
      <c r="AS103" s="27">
        <v>113921.70047295593</v>
      </c>
      <c r="AT103" s="28">
        <f t="shared" si="21"/>
        <v>1375004.5269944356</v>
      </c>
      <c r="AU103" s="30">
        <f t="shared" ref="AU103:BJ166" si="23">IFERROR(AC103/J103,0)</f>
        <v>16.195327123054053</v>
      </c>
      <c r="AV103" s="30">
        <f t="shared" si="23"/>
        <v>16.371542063681435</v>
      </c>
      <c r="AW103" s="30">
        <f t="shared" si="23"/>
        <v>16.14410725893287</v>
      </c>
      <c r="AX103" s="30">
        <f t="shared" si="23"/>
        <v>16.089553076552743</v>
      </c>
      <c r="AY103" s="31">
        <f t="shared" si="23"/>
        <v>16.202218542028866</v>
      </c>
      <c r="AZ103" s="30">
        <f t="shared" si="23"/>
        <v>15.908399966844714</v>
      </c>
      <c r="BA103" s="30">
        <f t="shared" si="23"/>
        <v>15.908399966844778</v>
      </c>
      <c r="BB103" s="30">
        <f t="shared" si="23"/>
        <v>15.908399966844765</v>
      </c>
      <c r="BC103" s="30">
        <f t="shared" si="23"/>
        <v>15.908399966844788</v>
      </c>
      <c r="BD103" s="30">
        <f t="shared" si="23"/>
        <v>16.285058163866012</v>
      </c>
      <c r="BE103" s="30">
        <f t="shared" si="23"/>
        <v>16.544735965518559</v>
      </c>
      <c r="BF103" s="30">
        <f t="shared" si="23"/>
        <v>16.544735965518544</v>
      </c>
      <c r="BG103" s="30">
        <f t="shared" si="23"/>
        <v>16.544735965518534</v>
      </c>
      <c r="BH103" s="30">
        <f t="shared" si="23"/>
        <v>16.544735965518569</v>
      </c>
      <c r="BI103" s="30">
        <f t="shared" si="23"/>
        <v>16.544735965518537</v>
      </c>
      <c r="BJ103" s="30">
        <f t="shared" si="15"/>
        <v>16.544735965518548</v>
      </c>
      <c r="BK103" s="30">
        <f t="shared" si="15"/>
        <v>16.544735965518555</v>
      </c>
      <c r="BL103" s="31">
        <f t="shared" si="15"/>
        <v>16.430926733912781</v>
      </c>
    </row>
    <row r="104" spans="2:64" ht="15" x14ac:dyDescent="0.4">
      <c r="B104" t="s">
        <v>186</v>
      </c>
      <c r="C104" s="26">
        <v>61071</v>
      </c>
      <c r="D104" t="s">
        <v>147</v>
      </c>
      <c r="E104" t="s">
        <v>148</v>
      </c>
      <c r="F104" t="s">
        <v>32</v>
      </c>
      <c r="G104" t="s">
        <v>33</v>
      </c>
      <c r="H104" t="s">
        <v>76</v>
      </c>
      <c r="J104" s="27">
        <v>15894.6590727086</v>
      </c>
      <c r="K104" s="27">
        <v>6088.0152560262522</v>
      </c>
      <c r="L104" s="27">
        <v>5988.2451494757206</v>
      </c>
      <c r="M104" s="27">
        <v>4137.4239026447649</v>
      </c>
      <c r="N104" s="28">
        <f t="shared" si="18"/>
        <v>32108.343380855335</v>
      </c>
      <c r="O104" s="27">
        <v>1896.8583815858392</v>
      </c>
      <c r="P104" s="27">
        <v>1350.8183018745115</v>
      </c>
      <c r="Q104" s="27">
        <v>1354.0772855673958</v>
      </c>
      <c r="R104" s="27">
        <v>796.2797017984193</v>
      </c>
      <c r="S104" s="27">
        <v>678.57478889547463</v>
      </c>
      <c r="T104" s="27">
        <v>912.56007762016679</v>
      </c>
      <c r="U104" s="27">
        <v>3251.2319383980475</v>
      </c>
      <c r="V104" s="27">
        <v>5614.4861954745693</v>
      </c>
      <c r="W104" s="27">
        <v>5438.9353366504483</v>
      </c>
      <c r="X104" s="27">
        <v>4319.0787333995122</v>
      </c>
      <c r="Y104" s="27">
        <v>3506.3498897489521</v>
      </c>
      <c r="Z104" s="27">
        <v>2610.8112039195307</v>
      </c>
      <c r="AA104" s="28">
        <f t="shared" si="19"/>
        <v>31730.061834932865</v>
      </c>
      <c r="AB104" s="29"/>
      <c r="AC104" s="27">
        <v>571756.4880336558</v>
      </c>
      <c r="AD104" s="27">
        <v>190364.13383268262</v>
      </c>
      <c r="AE104" s="27">
        <v>197487.3561060465</v>
      </c>
      <c r="AF104" s="27">
        <v>136948.04211927959</v>
      </c>
      <c r="AG104" s="28">
        <f t="shared" si="20"/>
        <v>1096556.0200916645</v>
      </c>
      <c r="AH104" s="27">
        <v>66589.716101866215</v>
      </c>
      <c r="AI104" s="27">
        <v>47420.834417710597</v>
      </c>
      <c r="AJ104" s="27">
        <v>47535.241903792143</v>
      </c>
      <c r="AK104" s="27">
        <v>27953.609924271484</v>
      </c>
      <c r="AL104" s="27">
        <v>24249.458885717719</v>
      </c>
      <c r="AM104" s="27">
        <v>33317.089861802531</v>
      </c>
      <c r="AN104" s="27">
        <v>118700.7730336596</v>
      </c>
      <c r="AO104" s="27">
        <v>204981.94660268183</v>
      </c>
      <c r="AP104" s="27">
        <v>198572.67681080947</v>
      </c>
      <c r="AQ104" s="27">
        <v>157687.29951034187</v>
      </c>
      <c r="AR104" s="27">
        <v>128014.99564646954</v>
      </c>
      <c r="AS104" s="27">
        <v>95319.347872451384</v>
      </c>
      <c r="AT104" s="28">
        <f t="shared" si="21"/>
        <v>1150342.9905715743</v>
      </c>
      <c r="AU104" s="30">
        <f t="shared" si="23"/>
        <v>35.971610678669506</v>
      </c>
      <c r="AV104" s="30">
        <f t="shared" si="23"/>
        <v>31.268668987688514</v>
      </c>
      <c r="AW104" s="30">
        <f t="shared" si="23"/>
        <v>32.979170220400349</v>
      </c>
      <c r="AX104" s="30">
        <f t="shared" si="23"/>
        <v>33.099833457175684</v>
      </c>
      <c r="AY104" s="31">
        <f t="shared" si="23"/>
        <v>34.151747011198601</v>
      </c>
      <c r="AZ104" s="30">
        <f t="shared" si="23"/>
        <v>35.105264973020766</v>
      </c>
      <c r="BA104" s="30">
        <f t="shared" si="23"/>
        <v>35.105264973020709</v>
      </c>
      <c r="BB104" s="30">
        <f t="shared" si="23"/>
        <v>35.105264973020766</v>
      </c>
      <c r="BC104" s="30">
        <f t="shared" si="23"/>
        <v>35.105264973020788</v>
      </c>
      <c r="BD104" s="30">
        <f t="shared" si="23"/>
        <v>35.735867707653703</v>
      </c>
      <c r="BE104" s="30">
        <f t="shared" si="23"/>
        <v>36.509475571941515</v>
      </c>
      <c r="BF104" s="30">
        <f t="shared" si="23"/>
        <v>36.509475571941522</v>
      </c>
      <c r="BG104" s="30">
        <f t="shared" si="23"/>
        <v>36.50947557194155</v>
      </c>
      <c r="BH104" s="30">
        <f t="shared" si="23"/>
        <v>36.509475571941593</v>
      </c>
      <c r="BI104" s="30">
        <f t="shared" si="23"/>
        <v>36.509475571941579</v>
      </c>
      <c r="BJ104" s="30">
        <f t="shared" si="15"/>
        <v>36.509475571941614</v>
      </c>
      <c r="BK104" s="30">
        <f t="shared" si="15"/>
        <v>36.509475571941536</v>
      </c>
      <c r="BL104" s="31">
        <f t="shared" si="15"/>
        <v>36.254041878516503</v>
      </c>
    </row>
    <row r="105" spans="2:64" ht="15" x14ac:dyDescent="0.4">
      <c r="B105" t="s">
        <v>187</v>
      </c>
      <c r="C105" s="26">
        <v>510050</v>
      </c>
      <c r="D105" t="s">
        <v>147</v>
      </c>
      <c r="E105" t="s">
        <v>151</v>
      </c>
      <c r="F105" t="s">
        <v>32</v>
      </c>
      <c r="G105" t="s">
        <v>33</v>
      </c>
      <c r="H105" t="s">
        <v>76</v>
      </c>
      <c r="J105" s="27">
        <v>1017.0771355666506</v>
      </c>
      <c r="K105" s="27">
        <v>3566.9334248096634</v>
      </c>
      <c r="L105" s="27">
        <v>3566.8953958639663</v>
      </c>
      <c r="M105" s="27">
        <v>3943.818385545741</v>
      </c>
      <c r="N105" s="28">
        <f t="shared" si="18"/>
        <v>12094.724341786021</v>
      </c>
      <c r="O105" s="27">
        <v>1395.2127194607326</v>
      </c>
      <c r="P105" s="27">
        <v>993.57911731924241</v>
      </c>
      <c r="Q105" s="27">
        <v>995.97622589886532</v>
      </c>
      <c r="R105" s="27">
        <v>585.69452468493569</v>
      </c>
      <c r="S105" s="27">
        <v>499.11800784032556</v>
      </c>
      <c r="T105" s="27">
        <v>671.22323939822934</v>
      </c>
      <c r="U105" s="27">
        <v>2391.4068643213836</v>
      </c>
      <c r="V105" s="27">
        <v>4129.6717926900837</v>
      </c>
      <c r="W105" s="27">
        <v>4000.5473448549792</v>
      </c>
      <c r="X105" s="27">
        <v>3176.849491606943</v>
      </c>
      <c r="Y105" s="27">
        <v>2579.0559867561174</v>
      </c>
      <c r="Z105" s="27">
        <v>1920.3526394910627</v>
      </c>
      <c r="AA105" s="28">
        <f t="shared" si="19"/>
        <v>23338.687954322901</v>
      </c>
      <c r="AB105" s="29"/>
      <c r="AC105" s="27">
        <v>21712.715431582899</v>
      </c>
      <c r="AD105" s="27">
        <v>78429.012271203334</v>
      </c>
      <c r="AE105" s="27">
        <v>78576.384713146821</v>
      </c>
      <c r="AF105" s="27">
        <v>87033.404058593995</v>
      </c>
      <c r="AG105" s="28">
        <f t="shared" si="20"/>
        <v>265751.51647452707</v>
      </c>
      <c r="AH105" s="27">
        <v>29070.022972642637</v>
      </c>
      <c r="AI105" s="27">
        <v>20701.766377798071</v>
      </c>
      <c r="AJ105" s="27">
        <v>20751.711451051437</v>
      </c>
      <c r="AK105" s="27">
        <v>12203.26696428264</v>
      </c>
      <c r="AL105" s="27">
        <v>10684.903057690046</v>
      </c>
      <c r="AM105" s="27">
        <v>14544.716877641964</v>
      </c>
      <c r="AN105" s="27">
        <v>51819.325880294964</v>
      </c>
      <c r="AO105" s="27">
        <v>89485.738122105889</v>
      </c>
      <c r="AP105" s="27">
        <v>86687.74421261721</v>
      </c>
      <c r="AQ105" s="27">
        <v>68839.059356361395</v>
      </c>
      <c r="AR105" s="27">
        <v>55885.489263729185</v>
      </c>
      <c r="AS105" s="27">
        <v>41612.065565058307</v>
      </c>
      <c r="AT105" s="28">
        <f t="shared" si="21"/>
        <v>502285.81010127376</v>
      </c>
      <c r="AU105" s="30">
        <f t="shared" si="23"/>
        <v>21.348150176914515</v>
      </c>
      <c r="AV105" s="30">
        <f t="shared" si="23"/>
        <v>21.98779818139959</v>
      </c>
      <c r="AW105" s="30">
        <f t="shared" si="23"/>
        <v>22.029349333950456</v>
      </c>
      <c r="AX105" s="30">
        <f t="shared" si="23"/>
        <v>22.06830932620403</v>
      </c>
      <c r="AY105" s="31">
        <f t="shared" si="23"/>
        <v>21.972515368240604</v>
      </c>
      <c r="AZ105" s="30">
        <f t="shared" si="23"/>
        <v>20.835548993474319</v>
      </c>
      <c r="BA105" s="30">
        <f t="shared" si="23"/>
        <v>20.835548993474347</v>
      </c>
      <c r="BB105" s="30">
        <f t="shared" si="23"/>
        <v>20.835548993474301</v>
      </c>
      <c r="BC105" s="30">
        <f t="shared" si="23"/>
        <v>20.835548993474333</v>
      </c>
      <c r="BD105" s="30">
        <f t="shared" si="23"/>
        <v>21.407568730936848</v>
      </c>
      <c r="BE105" s="30">
        <f t="shared" si="23"/>
        <v>21.668970953213293</v>
      </c>
      <c r="BF105" s="30">
        <f t="shared" si="23"/>
        <v>21.6689709532133</v>
      </c>
      <c r="BG105" s="30">
        <f t="shared" si="23"/>
        <v>21.668970953213339</v>
      </c>
      <c r="BH105" s="30">
        <f t="shared" si="23"/>
        <v>21.668970953213318</v>
      </c>
      <c r="BI105" s="30">
        <f t="shared" si="23"/>
        <v>21.668970953213332</v>
      </c>
      <c r="BJ105" s="30">
        <f t="shared" si="15"/>
        <v>21.668970953213304</v>
      </c>
      <c r="BK105" s="30">
        <f t="shared" si="15"/>
        <v>21.668970953213286</v>
      </c>
      <c r="BL105" s="31">
        <f t="shared" si="15"/>
        <v>21.521595861957529</v>
      </c>
    </row>
    <row r="106" spans="2:64" ht="15" x14ac:dyDescent="0.4">
      <c r="B106" t="s">
        <v>188</v>
      </c>
      <c r="C106" s="26">
        <v>510072</v>
      </c>
      <c r="D106" t="s">
        <v>147</v>
      </c>
      <c r="E106" t="s">
        <v>148</v>
      </c>
      <c r="F106" t="s">
        <v>32</v>
      </c>
      <c r="G106" t="s">
        <v>33</v>
      </c>
      <c r="H106" t="s">
        <v>76</v>
      </c>
      <c r="J106" s="27">
        <v>18820.222924168611</v>
      </c>
      <c r="K106" s="27">
        <v>3831.7711019810786</v>
      </c>
      <c r="L106" s="27">
        <v>4224.1309210334439</v>
      </c>
      <c r="M106" s="27">
        <v>3164.1165606624977</v>
      </c>
      <c r="N106" s="28">
        <f t="shared" si="18"/>
        <v>30040.241507845629</v>
      </c>
      <c r="O106" s="27">
        <v>1811.4775633965046</v>
      </c>
      <c r="P106" s="27">
        <v>1290.0156753005904</v>
      </c>
      <c r="Q106" s="27">
        <v>1293.1279666010103</v>
      </c>
      <c r="R106" s="27">
        <v>760.43779967904788</v>
      </c>
      <c r="S106" s="27">
        <v>648.03098486614397</v>
      </c>
      <c r="T106" s="27">
        <v>871.48419824482039</v>
      </c>
      <c r="U106" s="27">
        <v>3104.8884655702805</v>
      </c>
      <c r="V106" s="27">
        <v>5361.7686337757395</v>
      </c>
      <c r="W106" s="27">
        <v>5194.1196173378321</v>
      </c>
      <c r="X106" s="27">
        <v>4124.6696622418031</v>
      </c>
      <c r="Y106" s="27">
        <v>3348.5231245296309</v>
      </c>
      <c r="Z106" s="27">
        <v>2493.2941563146533</v>
      </c>
      <c r="AA106" s="28">
        <f t="shared" si="19"/>
        <v>30301.837847858056</v>
      </c>
      <c r="AB106" s="29"/>
      <c r="AC106" s="27">
        <v>633130.89380427927</v>
      </c>
      <c r="AD106" s="27">
        <v>121985.26805076162</v>
      </c>
      <c r="AE106" s="27">
        <v>137612.52002771798</v>
      </c>
      <c r="AF106" s="27">
        <v>102821.7935696294</v>
      </c>
      <c r="AG106" s="28">
        <f t="shared" si="20"/>
        <v>995550.47545238829</v>
      </c>
      <c r="AH106" s="27">
        <v>54999.680340448052</v>
      </c>
      <c r="AI106" s="27">
        <v>39167.170054631082</v>
      </c>
      <c r="AJ106" s="27">
        <v>39261.6647533832</v>
      </c>
      <c r="AK106" s="27">
        <v>23088.243954135414</v>
      </c>
      <c r="AL106" s="27">
        <v>20283.936386542864</v>
      </c>
      <c r="AM106" s="27">
        <v>27518.202502469721</v>
      </c>
      <c r="AN106" s="27">
        <v>98040.732941830123</v>
      </c>
      <c r="AO106" s="27">
        <v>169304.54428524466</v>
      </c>
      <c r="AP106" s="27">
        <v>164010.81710927322</v>
      </c>
      <c r="AQ106" s="27">
        <v>130241.59847070168</v>
      </c>
      <c r="AR106" s="27">
        <v>105733.80172651532</v>
      </c>
      <c r="AS106" s="27">
        <v>78728.878423583854</v>
      </c>
      <c r="AT106" s="28">
        <f t="shared" si="21"/>
        <v>950379.27094875916</v>
      </c>
      <c r="AU106" s="30">
        <f t="shared" si="23"/>
        <v>33.640988013549155</v>
      </c>
      <c r="AV106" s="30">
        <f t="shared" si="23"/>
        <v>31.835217919904856</v>
      </c>
      <c r="AW106" s="30">
        <f t="shared" si="23"/>
        <v>32.577711865533452</v>
      </c>
      <c r="AX106" s="30">
        <f t="shared" si="23"/>
        <v>32.496209162440188</v>
      </c>
      <c r="AY106" s="31">
        <f t="shared" si="23"/>
        <v>33.140561642701165</v>
      </c>
      <c r="AZ106" s="30">
        <f t="shared" si="23"/>
        <v>30.361778391184782</v>
      </c>
      <c r="BA106" s="30">
        <f t="shared" si="23"/>
        <v>30.36177839118476</v>
      </c>
      <c r="BB106" s="30">
        <f t="shared" si="23"/>
        <v>30.361778391184728</v>
      </c>
      <c r="BC106" s="30">
        <f t="shared" si="23"/>
        <v>30.361778391184778</v>
      </c>
      <c r="BD106" s="30">
        <f t="shared" si="23"/>
        <v>31.300874279541858</v>
      </c>
      <c r="BE106" s="30">
        <f t="shared" si="23"/>
        <v>31.576249526832168</v>
      </c>
      <c r="BF106" s="30">
        <f t="shared" si="23"/>
        <v>31.576249526832136</v>
      </c>
      <c r="BG106" s="30">
        <f t="shared" si="23"/>
        <v>31.57624952683215</v>
      </c>
      <c r="BH106" s="30">
        <f t="shared" si="23"/>
        <v>31.576249526832132</v>
      </c>
      <c r="BI106" s="30">
        <f t="shared" si="23"/>
        <v>31.576249526832154</v>
      </c>
      <c r="BJ106" s="30">
        <f t="shared" si="15"/>
        <v>31.576249526832164</v>
      </c>
      <c r="BK106" s="30">
        <f t="shared" si="15"/>
        <v>31.576249526832118</v>
      </c>
      <c r="BL106" s="31">
        <f t="shared" si="15"/>
        <v>31.363750136889422</v>
      </c>
    </row>
    <row r="107" spans="2:64" ht="15" x14ac:dyDescent="0.4">
      <c r="B107" t="s">
        <v>189</v>
      </c>
      <c r="C107" s="26">
        <v>510075</v>
      </c>
      <c r="D107" t="s">
        <v>147</v>
      </c>
      <c r="E107" t="s">
        <v>148</v>
      </c>
      <c r="F107" t="s">
        <v>32</v>
      </c>
      <c r="G107" t="s">
        <v>33</v>
      </c>
      <c r="H107" t="s">
        <v>76</v>
      </c>
      <c r="J107" s="27">
        <v>16972.548528356856</v>
      </c>
      <c r="K107" s="27">
        <v>3208.1003943069186</v>
      </c>
      <c r="L107" s="27">
        <v>2959.9472522267461</v>
      </c>
      <c r="M107" s="27">
        <v>2252.0421178618008</v>
      </c>
      <c r="N107" s="28">
        <f t="shared" si="18"/>
        <v>25392.638292752323</v>
      </c>
      <c r="O107" s="27">
        <v>2500.0278336272286</v>
      </c>
      <c r="P107" s="27">
        <v>1780.3560801602778</v>
      </c>
      <c r="Q107" s="27">
        <v>1784.6513665246432</v>
      </c>
      <c r="R107" s="27">
        <v>1049.4834180420594</v>
      </c>
      <c r="S107" s="27">
        <v>894.35029831700376</v>
      </c>
      <c r="T107" s="27">
        <v>1202.7390215605258</v>
      </c>
      <c r="U107" s="27">
        <v>4285.0696807304448</v>
      </c>
      <c r="V107" s="27">
        <v>7399.7995298243268</v>
      </c>
      <c r="W107" s="27">
        <v>7168.4264143940973</v>
      </c>
      <c r="X107" s="27">
        <v>5692.4740159562398</v>
      </c>
      <c r="Y107" s="27">
        <v>4621.3109022295457</v>
      </c>
      <c r="Z107" s="27">
        <v>3441.0057922657038</v>
      </c>
      <c r="AA107" s="28">
        <f t="shared" si="19"/>
        <v>41819.694353632098</v>
      </c>
      <c r="AB107" s="29"/>
      <c r="AC107" s="27">
        <v>611330.97715770651</v>
      </c>
      <c r="AD107" s="27">
        <v>109754.76593431042</v>
      </c>
      <c r="AE107" s="27">
        <v>101948.12666076703</v>
      </c>
      <c r="AF107" s="27">
        <v>77245.460265777394</v>
      </c>
      <c r="AG107" s="28">
        <f t="shared" si="20"/>
        <v>900279.33001856133</v>
      </c>
      <c r="AH107" s="27">
        <v>85145.372879880655</v>
      </c>
      <c r="AI107" s="27">
        <v>60634.957845358564</v>
      </c>
      <c r="AJ107" s="27">
        <v>60781.245720317485</v>
      </c>
      <c r="AK107" s="27">
        <v>35743.064840520114</v>
      </c>
      <c r="AL107" s="27">
        <v>31156.163278805296</v>
      </c>
      <c r="AM107" s="27">
        <v>42601.113289266163</v>
      </c>
      <c r="AN107" s="27">
        <v>151777.51419783867</v>
      </c>
      <c r="AO107" s="27">
        <v>262101.4970304101</v>
      </c>
      <c r="AP107" s="27">
        <v>253906.24259379553</v>
      </c>
      <c r="AQ107" s="27">
        <v>201627.88942800753</v>
      </c>
      <c r="AR107" s="27">
        <v>163687.20542164176</v>
      </c>
      <c r="AS107" s="27">
        <v>121880.70309312333</v>
      </c>
      <c r="AT107" s="28">
        <f t="shared" si="21"/>
        <v>1471042.9696189654</v>
      </c>
      <c r="AU107" s="30">
        <f t="shared" si="23"/>
        <v>36.01880861535475</v>
      </c>
      <c r="AV107" s="30">
        <f t="shared" si="23"/>
        <v>34.211761617273808</v>
      </c>
      <c r="AW107" s="30">
        <f t="shared" si="23"/>
        <v>34.44254845557542</v>
      </c>
      <c r="AX107" s="30">
        <f t="shared" si="23"/>
        <v>34.300184553883042</v>
      </c>
      <c r="AY107" s="31">
        <f t="shared" si="23"/>
        <v>35.45434387869507</v>
      </c>
      <c r="AZ107" s="30">
        <f t="shared" si="23"/>
        <v>34.057769971442816</v>
      </c>
      <c r="BA107" s="30">
        <f t="shared" si="23"/>
        <v>34.057769971442937</v>
      </c>
      <c r="BB107" s="30">
        <f t="shared" si="23"/>
        <v>34.057769971442873</v>
      </c>
      <c r="BC107" s="30">
        <f t="shared" si="23"/>
        <v>34.057769971442909</v>
      </c>
      <c r="BD107" s="30">
        <f t="shared" si="23"/>
        <v>34.836644363439291</v>
      </c>
      <c r="BE107" s="30">
        <f t="shared" si="23"/>
        <v>35.420080770300622</v>
      </c>
      <c r="BF107" s="30">
        <f t="shared" si="23"/>
        <v>35.420080770300622</v>
      </c>
      <c r="BG107" s="30">
        <f t="shared" si="23"/>
        <v>35.420080770300608</v>
      </c>
      <c r="BH107" s="30">
        <f t="shared" si="23"/>
        <v>35.420080770300636</v>
      </c>
      <c r="BI107" s="30">
        <f t="shared" si="23"/>
        <v>35.420080770300615</v>
      </c>
      <c r="BJ107" s="30">
        <f t="shared" si="15"/>
        <v>35.420080770300707</v>
      </c>
      <c r="BK107" s="30">
        <f t="shared" si="15"/>
        <v>35.420080770300572</v>
      </c>
      <c r="BL107" s="31">
        <f t="shared" si="15"/>
        <v>35.175842204384814</v>
      </c>
    </row>
    <row r="108" spans="2:64" ht="15" x14ac:dyDescent="0.4">
      <c r="B108" t="s">
        <v>190</v>
      </c>
      <c r="C108" s="26">
        <v>510030</v>
      </c>
      <c r="D108" t="s">
        <v>147</v>
      </c>
      <c r="E108" t="s">
        <v>148</v>
      </c>
      <c r="F108" t="s">
        <v>32</v>
      </c>
      <c r="G108" t="s">
        <v>33</v>
      </c>
      <c r="H108" t="s">
        <v>76</v>
      </c>
      <c r="J108" s="27">
        <v>15309.54546809517</v>
      </c>
      <c r="K108" s="27">
        <v>5785.8662864845755</v>
      </c>
      <c r="L108" s="27">
        <v>5328.3809014172239</v>
      </c>
      <c r="M108" s="27">
        <v>4309.4342066073959</v>
      </c>
      <c r="N108" s="28">
        <f t="shared" si="18"/>
        <v>30733.226862604366</v>
      </c>
      <c r="O108" s="27">
        <v>3124.0282459789046</v>
      </c>
      <c r="P108" s="27">
        <v>2224.7283040250813</v>
      </c>
      <c r="Q108" s="27">
        <v>2230.0956826383708</v>
      </c>
      <c r="R108" s="27">
        <v>1311.431735899125</v>
      </c>
      <c r="S108" s="27">
        <v>1117.5777949992948</v>
      </c>
      <c r="T108" s="27">
        <v>1502.9395374549138</v>
      </c>
      <c r="U108" s="27">
        <v>5354.6118721275707</v>
      </c>
      <c r="V108" s="27">
        <v>9246.7701498396837</v>
      </c>
      <c r="W108" s="27">
        <v>8957.6469095934208</v>
      </c>
      <c r="X108" s="27">
        <v>7113.3006505558424</v>
      </c>
      <c r="Y108" s="27">
        <v>5774.7780235986211</v>
      </c>
      <c r="Z108" s="27">
        <v>4299.8718434340235</v>
      </c>
      <c r="AA108" s="28">
        <f t="shared" si="19"/>
        <v>52257.780750144862</v>
      </c>
      <c r="AB108" s="29"/>
      <c r="AC108" s="27">
        <v>464008.22194145108</v>
      </c>
      <c r="AD108" s="27">
        <v>171516.65419854657</v>
      </c>
      <c r="AE108" s="27">
        <v>159660.15856872746</v>
      </c>
      <c r="AF108" s="27">
        <v>129527.73222705499</v>
      </c>
      <c r="AG108" s="28">
        <f t="shared" si="20"/>
        <v>924712.76693578006</v>
      </c>
      <c r="AH108" s="27">
        <v>89650.738298652344</v>
      </c>
      <c r="AI108" s="27">
        <v>63843.38401116497</v>
      </c>
      <c r="AJ108" s="27">
        <v>63997.412533803639</v>
      </c>
      <c r="AK108" s="27">
        <v>37634.366303496507</v>
      </c>
      <c r="AL108" s="27">
        <v>33317.778364516649</v>
      </c>
      <c r="AM108" s="27">
        <v>44855.300171334333</v>
      </c>
      <c r="AN108" s="27">
        <v>159808.63956244005</v>
      </c>
      <c r="AO108" s="27">
        <v>275970.28380047908</v>
      </c>
      <c r="AP108" s="27">
        <v>267341.38729163061</v>
      </c>
      <c r="AQ108" s="27">
        <v>212296.78768711057</v>
      </c>
      <c r="AR108" s="27">
        <v>172348.51783191657</v>
      </c>
      <c r="AS108" s="27">
        <v>128329.8745085331</v>
      </c>
      <c r="AT108" s="28">
        <f t="shared" si="21"/>
        <v>1549394.4703650787</v>
      </c>
      <c r="AU108" s="30">
        <f t="shared" si="23"/>
        <v>30.308425740557499</v>
      </c>
      <c r="AV108" s="30">
        <f t="shared" si="23"/>
        <v>29.644075010720318</v>
      </c>
      <c r="AW108" s="30">
        <f t="shared" si="23"/>
        <v>29.964103828662402</v>
      </c>
      <c r="AX108" s="30">
        <f t="shared" si="23"/>
        <v>30.056783795064771</v>
      </c>
      <c r="AY108" s="31">
        <f t="shared" si="23"/>
        <v>30.088372140998764</v>
      </c>
      <c r="AZ108" s="30">
        <f t="shared" si="23"/>
        <v>28.697159961356419</v>
      </c>
      <c r="BA108" s="30">
        <f t="shared" si="23"/>
        <v>28.697159961356434</v>
      </c>
      <c r="BB108" s="30">
        <f t="shared" si="23"/>
        <v>28.697159961356405</v>
      </c>
      <c r="BC108" s="30">
        <f t="shared" si="23"/>
        <v>28.697159961356412</v>
      </c>
      <c r="BD108" s="30">
        <f t="shared" si="23"/>
        <v>29.812491366238778</v>
      </c>
      <c r="BE108" s="30">
        <f t="shared" si="23"/>
        <v>29.845046359810688</v>
      </c>
      <c r="BF108" s="30">
        <f t="shared" si="23"/>
        <v>29.845046359810688</v>
      </c>
      <c r="BG108" s="30">
        <f t="shared" si="23"/>
        <v>29.845046359810699</v>
      </c>
      <c r="BH108" s="30">
        <f t="shared" si="23"/>
        <v>29.845046359810691</v>
      </c>
      <c r="BI108" s="30">
        <f t="shared" si="23"/>
        <v>29.845046359810677</v>
      </c>
      <c r="BJ108" s="30">
        <f t="shared" si="15"/>
        <v>29.845046359810652</v>
      </c>
      <c r="BK108" s="30">
        <f t="shared" si="15"/>
        <v>29.845046359810695</v>
      </c>
      <c r="BL108" s="31">
        <f t="shared" si="15"/>
        <v>29.649067528777206</v>
      </c>
    </row>
    <row r="109" spans="2:64" ht="15" x14ac:dyDescent="0.4">
      <c r="B109" t="s">
        <v>191</v>
      </c>
      <c r="C109" s="26">
        <v>510060</v>
      </c>
      <c r="D109" t="s">
        <v>147</v>
      </c>
      <c r="E109" t="s">
        <v>148</v>
      </c>
      <c r="F109" t="s">
        <v>32</v>
      </c>
      <c r="G109" t="s">
        <v>33</v>
      </c>
      <c r="H109" t="s">
        <v>76</v>
      </c>
      <c r="J109" s="27">
        <v>13382.639763036377</v>
      </c>
      <c r="K109" s="27">
        <v>3777.1636070753852</v>
      </c>
      <c r="L109" s="27">
        <v>4767.6496674057298</v>
      </c>
      <c r="M109" s="27">
        <v>3401.9288878218795</v>
      </c>
      <c r="N109" s="28">
        <f t="shared" si="18"/>
        <v>25329.381925339374</v>
      </c>
      <c r="O109" s="27">
        <v>4523.8625756562878</v>
      </c>
      <c r="P109" s="27">
        <v>3221.5986294415557</v>
      </c>
      <c r="Q109" s="27">
        <v>3229.3710570017979</v>
      </c>
      <c r="R109" s="27">
        <v>1899.0663602988668</v>
      </c>
      <c r="S109" s="27">
        <v>1618.3491198228837</v>
      </c>
      <c r="T109" s="27">
        <v>2176.3861884789017</v>
      </c>
      <c r="U109" s="27">
        <v>7753.9402169817495</v>
      </c>
      <c r="V109" s="27">
        <v>13390.121385873626</v>
      </c>
      <c r="W109" s="27">
        <v>12971.445976012643</v>
      </c>
      <c r="X109" s="27">
        <v>10300.673383430856</v>
      </c>
      <c r="Y109" s="27">
        <v>8362.3770743129717</v>
      </c>
      <c r="Z109" s="27">
        <v>6226.5856071138542</v>
      </c>
      <c r="AA109" s="28">
        <f t="shared" si="19"/>
        <v>75673.777574425985</v>
      </c>
      <c r="AB109" s="29"/>
      <c r="AC109" s="27">
        <v>609603.38860663818</v>
      </c>
      <c r="AD109" s="27">
        <v>170254.52916416861</v>
      </c>
      <c r="AE109" s="27">
        <v>216157.10734450663</v>
      </c>
      <c r="AF109" s="27">
        <v>154302.97210570562</v>
      </c>
      <c r="AG109" s="28">
        <f t="shared" si="20"/>
        <v>1150317.9972210191</v>
      </c>
      <c r="AH109" s="27">
        <v>200448.99964934387</v>
      </c>
      <c r="AI109" s="27">
        <v>142746.64885229722</v>
      </c>
      <c r="AJ109" s="27">
        <v>143091.03936001996</v>
      </c>
      <c r="AK109" s="27">
        <v>84146.223680193041</v>
      </c>
      <c r="AL109" s="27">
        <v>73250.478236294191</v>
      </c>
      <c r="AM109" s="27">
        <v>100291.42223416758</v>
      </c>
      <c r="AN109" s="27">
        <v>357314.20112683176</v>
      </c>
      <c r="AO109" s="27">
        <v>617038.61418822338</v>
      </c>
      <c r="AP109" s="27">
        <v>597745.36902258429</v>
      </c>
      <c r="AQ109" s="27">
        <v>474671.81562842854</v>
      </c>
      <c r="AR109" s="27">
        <v>385351.96302978048</v>
      </c>
      <c r="AS109" s="27">
        <v>286931.21170590469</v>
      </c>
      <c r="AT109" s="28">
        <f t="shared" si="21"/>
        <v>3463027.9867140688</v>
      </c>
      <c r="AU109" s="30">
        <f t="shared" si="23"/>
        <v>45.551804382450605</v>
      </c>
      <c r="AV109" s="30">
        <f t="shared" si="23"/>
        <v>45.074703368752076</v>
      </c>
      <c r="AW109" s="30">
        <f t="shared" si="23"/>
        <v>45.338295056005322</v>
      </c>
      <c r="AX109" s="30">
        <f t="shared" si="23"/>
        <v>45.35749487829527</v>
      </c>
      <c r="AY109" s="31">
        <f t="shared" si="23"/>
        <v>45.414372944893984</v>
      </c>
      <c r="AZ109" s="30">
        <f t="shared" si="23"/>
        <v>44.309259244079541</v>
      </c>
      <c r="BA109" s="30">
        <f t="shared" si="23"/>
        <v>44.309259244079541</v>
      </c>
      <c r="BB109" s="30">
        <f t="shared" si="23"/>
        <v>44.309259244079584</v>
      </c>
      <c r="BC109" s="30">
        <f t="shared" si="23"/>
        <v>44.309259244079534</v>
      </c>
      <c r="BD109" s="30">
        <f t="shared" si="23"/>
        <v>45.262469846006347</v>
      </c>
      <c r="BE109" s="30">
        <f t="shared" si="23"/>
        <v>46.081629613842694</v>
      </c>
      <c r="BF109" s="30">
        <f t="shared" si="23"/>
        <v>46.081629613842658</v>
      </c>
      <c r="BG109" s="30">
        <f t="shared" si="23"/>
        <v>46.081629613842765</v>
      </c>
      <c r="BH109" s="30">
        <f t="shared" si="23"/>
        <v>46.081629613842651</v>
      </c>
      <c r="BI109" s="30">
        <f t="shared" si="23"/>
        <v>46.081629613842694</v>
      </c>
      <c r="BJ109" s="30">
        <f t="shared" si="15"/>
        <v>46.081629613842772</v>
      </c>
      <c r="BK109" s="30">
        <f t="shared" si="15"/>
        <v>46.081629613842729</v>
      </c>
      <c r="BL109" s="31">
        <f t="shared" si="15"/>
        <v>45.762589072656546</v>
      </c>
    </row>
    <row r="110" spans="2:64" ht="15" x14ac:dyDescent="0.4">
      <c r="B110" t="s">
        <v>192</v>
      </c>
      <c r="C110" s="26">
        <v>510065</v>
      </c>
      <c r="D110" t="s">
        <v>147</v>
      </c>
      <c r="E110" t="s">
        <v>148</v>
      </c>
      <c r="F110" t="s">
        <v>32</v>
      </c>
      <c r="G110" t="s">
        <v>33</v>
      </c>
      <c r="H110" t="s">
        <v>76</v>
      </c>
      <c r="J110" s="27">
        <v>8071.4288941925588</v>
      </c>
      <c r="K110" s="27">
        <v>3052.3240527075618</v>
      </c>
      <c r="L110" s="27">
        <v>2860.3826328627165</v>
      </c>
      <c r="M110" s="27">
        <v>1566.8858899764725</v>
      </c>
      <c r="N110" s="28">
        <f t="shared" si="18"/>
        <v>15551.021469739309</v>
      </c>
      <c r="O110" s="27">
        <v>2195.3492532616151</v>
      </c>
      <c r="P110" s="27">
        <v>1563.3839505894225</v>
      </c>
      <c r="Q110" s="27">
        <v>1567.1557700810727</v>
      </c>
      <c r="R110" s="27">
        <v>921.58279484684465</v>
      </c>
      <c r="S110" s="27">
        <v>785.35576010602801</v>
      </c>
      <c r="T110" s="27">
        <v>1056.1611264225687</v>
      </c>
      <c r="U110" s="27">
        <v>3762.8479160237475</v>
      </c>
      <c r="V110" s="27">
        <v>6497.9854038328085</v>
      </c>
      <c r="W110" s="27">
        <v>6294.8097474051847</v>
      </c>
      <c r="X110" s="27">
        <v>4998.7317789214976</v>
      </c>
      <c r="Y110" s="27">
        <v>4058.1113945358402</v>
      </c>
      <c r="Z110" s="27">
        <v>3021.6501572141274</v>
      </c>
      <c r="AA110" s="28">
        <f t="shared" si="19"/>
        <v>36723.125053240758</v>
      </c>
      <c r="AB110" s="29"/>
      <c r="AC110" s="27">
        <v>429512.34889989614</v>
      </c>
      <c r="AD110" s="27">
        <v>165202.43222400165</v>
      </c>
      <c r="AE110" s="27">
        <v>154427.04292047239</v>
      </c>
      <c r="AF110" s="27">
        <v>81697.710426899925</v>
      </c>
      <c r="AG110" s="28">
        <f t="shared" si="20"/>
        <v>830839.53447127005</v>
      </c>
      <c r="AH110" s="27">
        <v>111533.65394570946</v>
      </c>
      <c r="AI110" s="27">
        <v>79426.963281699485</v>
      </c>
      <c r="AJ110" s="27">
        <v>79618.588741431042</v>
      </c>
      <c r="AK110" s="27">
        <v>46820.56687338341</v>
      </c>
      <c r="AL110" s="27">
        <v>40722.637719646969</v>
      </c>
      <c r="AM110" s="27">
        <v>55804.063880372101</v>
      </c>
      <c r="AN110" s="27">
        <v>198816.44971081894</v>
      </c>
      <c r="AO110" s="27">
        <v>343332.07642044098</v>
      </c>
      <c r="AP110" s="27">
        <v>332596.94612017303</v>
      </c>
      <c r="AQ110" s="27">
        <v>264116.46910035389</v>
      </c>
      <c r="AR110" s="27">
        <v>214417.19622971432</v>
      </c>
      <c r="AS110" s="27">
        <v>159654.00939198068</v>
      </c>
      <c r="AT110" s="28">
        <f t="shared" si="21"/>
        <v>1926859.6214157245</v>
      </c>
      <c r="AU110" s="30">
        <f t="shared" si="23"/>
        <v>53.213917204787968</v>
      </c>
      <c r="AV110" s="30">
        <f t="shared" si="23"/>
        <v>54.123490616095943</v>
      </c>
      <c r="AW110" s="30">
        <f t="shared" si="23"/>
        <v>53.988246588506009</v>
      </c>
      <c r="AX110" s="30">
        <f t="shared" si="23"/>
        <v>52.140178777234794</v>
      </c>
      <c r="AY110" s="31">
        <f t="shared" si="23"/>
        <v>53.426685577407149</v>
      </c>
      <c r="AZ110" s="30">
        <f t="shared" si="23"/>
        <v>50.804514944492176</v>
      </c>
      <c r="BA110" s="30">
        <f t="shared" si="23"/>
        <v>50.804514944492148</v>
      </c>
      <c r="BB110" s="30">
        <f t="shared" si="23"/>
        <v>50.804514944492205</v>
      </c>
      <c r="BC110" s="30">
        <f t="shared" si="23"/>
        <v>50.804514944492205</v>
      </c>
      <c r="BD110" s="30">
        <f t="shared" si="23"/>
        <v>51.852472202087313</v>
      </c>
      <c r="BE110" s="30">
        <f t="shared" si="23"/>
        <v>52.836695542271805</v>
      </c>
      <c r="BF110" s="30">
        <f t="shared" si="23"/>
        <v>52.836695542271869</v>
      </c>
      <c r="BG110" s="30">
        <f t="shared" si="23"/>
        <v>52.836695542271926</v>
      </c>
      <c r="BH110" s="30">
        <f t="shared" si="23"/>
        <v>52.836695542271869</v>
      </c>
      <c r="BI110" s="30">
        <f t="shared" si="23"/>
        <v>52.836695542271805</v>
      </c>
      <c r="BJ110" s="30">
        <f t="shared" si="15"/>
        <v>52.836695542271826</v>
      </c>
      <c r="BK110" s="30">
        <f t="shared" si="15"/>
        <v>52.836695542271841</v>
      </c>
      <c r="BL110" s="31">
        <f t="shared" si="15"/>
        <v>52.469925111824935</v>
      </c>
    </row>
    <row r="111" spans="2:64" ht="15" x14ac:dyDescent="0.4">
      <c r="B111" t="s">
        <v>193</v>
      </c>
      <c r="C111" s="26">
        <v>510063</v>
      </c>
      <c r="D111" t="s">
        <v>147</v>
      </c>
      <c r="E111" t="s">
        <v>148</v>
      </c>
      <c r="F111" t="s">
        <v>32</v>
      </c>
      <c r="G111" t="s">
        <v>33</v>
      </c>
      <c r="H111" t="s">
        <v>76</v>
      </c>
      <c r="J111" s="27">
        <v>16171.030490354875</v>
      </c>
      <c r="K111" s="27">
        <v>5764.950744350117</v>
      </c>
      <c r="L111" s="27">
        <v>5854.6186648099556</v>
      </c>
      <c r="M111" s="27">
        <v>3641.6969025039584</v>
      </c>
      <c r="N111" s="28">
        <f t="shared" si="18"/>
        <v>31432.296802018907</v>
      </c>
      <c r="O111" s="27">
        <v>3451.6140002884449</v>
      </c>
      <c r="P111" s="27">
        <v>2458.0134225402244</v>
      </c>
      <c r="Q111" s="27">
        <v>2463.9436247368008</v>
      </c>
      <c r="R111" s="27">
        <v>1448.948531716497</v>
      </c>
      <c r="S111" s="27">
        <v>1234.7670571148551</v>
      </c>
      <c r="T111" s="27">
        <v>1660.5378506880013</v>
      </c>
      <c r="U111" s="27">
        <v>5916.0967343158418</v>
      </c>
      <c r="V111" s="27">
        <v>10216.386918945749</v>
      </c>
      <c r="W111" s="27">
        <v>9896.9462016195721</v>
      </c>
      <c r="X111" s="27">
        <v>7859.201703864891</v>
      </c>
      <c r="Y111" s="27">
        <v>6380.3215289320478</v>
      </c>
      <c r="Z111" s="27">
        <v>4750.756614747711</v>
      </c>
      <c r="AA111" s="28">
        <f t="shared" si="19"/>
        <v>57737.534189510647</v>
      </c>
      <c r="AB111" s="29"/>
      <c r="AC111" s="27">
        <v>685359.59337483253</v>
      </c>
      <c r="AD111" s="27">
        <v>240103.29972719785</v>
      </c>
      <c r="AE111" s="27">
        <v>245684.82846824185</v>
      </c>
      <c r="AF111" s="27">
        <v>152372.64286026941</v>
      </c>
      <c r="AG111" s="28">
        <f t="shared" si="20"/>
        <v>1323520.3644305416</v>
      </c>
      <c r="AH111" s="27">
        <v>143326.01033037523</v>
      </c>
      <c r="AI111" s="27">
        <v>102067.39721236526</v>
      </c>
      <c r="AJ111" s="27">
        <v>102313.6449739099</v>
      </c>
      <c r="AK111" s="27">
        <v>60166.638624025123</v>
      </c>
      <c r="AL111" s="27">
        <v>52378.299545420916</v>
      </c>
      <c r="AM111" s="27">
        <v>71710.856349137161</v>
      </c>
      <c r="AN111" s="27">
        <v>255488.52312300296</v>
      </c>
      <c r="AO111" s="27">
        <v>441197.92538795632</v>
      </c>
      <c r="AP111" s="27">
        <v>427402.77619412611</v>
      </c>
      <c r="AQ111" s="27">
        <v>339402.13056344335</v>
      </c>
      <c r="AR111" s="27">
        <v>275536.21884197544</v>
      </c>
      <c r="AS111" s="27">
        <v>205162.93862782666</v>
      </c>
      <c r="AT111" s="28">
        <f t="shared" si="21"/>
        <v>2476153.3597735642</v>
      </c>
      <c r="AU111" s="30">
        <f t="shared" si="23"/>
        <v>42.381936870603987</v>
      </c>
      <c r="AV111" s="30">
        <f t="shared" si="23"/>
        <v>41.648803324557235</v>
      </c>
      <c r="AW111" s="30">
        <f t="shared" si="23"/>
        <v>41.964275136306753</v>
      </c>
      <c r="AX111" s="30">
        <f t="shared" si="23"/>
        <v>41.841110597507715</v>
      </c>
      <c r="AY111" s="31">
        <f t="shared" si="23"/>
        <v>42.107020456282136</v>
      </c>
      <c r="AZ111" s="30">
        <f t="shared" si="23"/>
        <v>41.524344934977591</v>
      </c>
      <c r="BA111" s="30">
        <f t="shared" si="23"/>
        <v>41.524344934977655</v>
      </c>
      <c r="BB111" s="30">
        <f t="shared" si="23"/>
        <v>41.524344934977591</v>
      </c>
      <c r="BC111" s="30">
        <f t="shared" si="23"/>
        <v>41.524344934977577</v>
      </c>
      <c r="BD111" s="30">
        <f t="shared" si="23"/>
        <v>42.419579663720178</v>
      </c>
      <c r="BE111" s="30">
        <f t="shared" si="23"/>
        <v>43.185318732376743</v>
      </c>
      <c r="BF111" s="30">
        <f t="shared" si="23"/>
        <v>43.185318732376771</v>
      </c>
      <c r="BG111" s="30">
        <f t="shared" si="23"/>
        <v>43.185318732376714</v>
      </c>
      <c r="BH111" s="30">
        <f t="shared" si="23"/>
        <v>43.1853187323767</v>
      </c>
      <c r="BI111" s="30">
        <f t="shared" si="23"/>
        <v>43.1853187323767</v>
      </c>
      <c r="BJ111" s="30">
        <f t="shared" si="15"/>
        <v>43.185318732376686</v>
      </c>
      <c r="BK111" s="30">
        <f t="shared" si="15"/>
        <v>43.185318732376665</v>
      </c>
      <c r="BL111" s="31">
        <f t="shared" si="15"/>
        <v>42.886371829564801</v>
      </c>
    </row>
    <row r="112" spans="2:64" ht="15" x14ac:dyDescent="0.4">
      <c r="B112" t="s">
        <v>194</v>
      </c>
      <c r="C112" s="26">
        <v>61004</v>
      </c>
      <c r="D112" t="s">
        <v>147</v>
      </c>
      <c r="E112" t="s">
        <v>173</v>
      </c>
      <c r="F112" t="s">
        <v>32</v>
      </c>
      <c r="G112" t="s">
        <v>33</v>
      </c>
      <c r="H112" t="s">
        <v>34</v>
      </c>
      <c r="J112" s="27">
        <v>15667.135066495714</v>
      </c>
      <c r="K112" s="27">
        <v>9941.5896612271081</v>
      </c>
      <c r="L112" s="27">
        <v>8574.8647070316147</v>
      </c>
      <c r="M112" s="27">
        <v>7244.1877654730988</v>
      </c>
      <c r="N112" s="28">
        <f t="shared" si="18"/>
        <v>41427.777200227538</v>
      </c>
      <c r="O112" s="27">
        <v>7496.3648351943648</v>
      </c>
      <c r="P112" s="27">
        <v>5338.4200503377378</v>
      </c>
      <c r="Q112" s="27">
        <v>5351.2995204083491</v>
      </c>
      <c r="R112" s="27">
        <v>3146.8892003156661</v>
      </c>
      <c r="S112" s="27">
        <v>2681.7205938551433</v>
      </c>
      <c r="T112" s="27">
        <v>3606.428050867366</v>
      </c>
      <c r="U112" s="27">
        <v>12848.835216518215</v>
      </c>
      <c r="V112" s="27">
        <v>22188.391759775193</v>
      </c>
      <c r="W112" s="27">
        <v>21494.616569359005</v>
      </c>
      <c r="X112" s="27">
        <v>17068.954779019023</v>
      </c>
      <c r="Y112" s="27">
        <v>13857.058739106609</v>
      </c>
      <c r="Z112" s="27">
        <v>10317.899053713898</v>
      </c>
      <c r="AA112" s="28">
        <f t="shared" si="19"/>
        <v>125396.87836847058</v>
      </c>
      <c r="AB112" s="29"/>
      <c r="AC112" s="27">
        <v>129323.96227986316</v>
      </c>
      <c r="AD112" s="27">
        <v>83093.428420694152</v>
      </c>
      <c r="AE112" s="27">
        <v>71204.60466041039</v>
      </c>
      <c r="AF112" s="27">
        <v>60605.887809833213</v>
      </c>
      <c r="AG112" s="28">
        <f t="shared" si="20"/>
        <v>344227.88317080092</v>
      </c>
      <c r="AH112" s="27">
        <v>63062.572611875876</v>
      </c>
      <c r="AI112" s="27">
        <v>44909.033839518132</v>
      </c>
      <c r="AJ112" s="27">
        <v>45017.38135653294</v>
      </c>
      <c r="AK112" s="27">
        <v>26472.954966750796</v>
      </c>
      <c r="AL112" s="27">
        <v>23378.279812394783</v>
      </c>
      <c r="AM112" s="27">
        <v>31552.340535769825</v>
      </c>
      <c r="AN112" s="27">
        <v>112413.3958923903</v>
      </c>
      <c r="AO112" s="27">
        <v>194124.40311324582</v>
      </c>
      <c r="AP112" s="27">
        <v>188054.62139168501</v>
      </c>
      <c r="AQ112" s="27">
        <v>149334.87267207104</v>
      </c>
      <c r="AR112" s="27">
        <v>121234.26004722378</v>
      </c>
      <c r="AS112" s="27">
        <v>90270.444873613989</v>
      </c>
      <c r="AT112" s="28">
        <f t="shared" si="21"/>
        <v>1089824.5611130721</v>
      </c>
      <c r="AU112" s="30">
        <f t="shared" si="23"/>
        <v>8.2544742054610509</v>
      </c>
      <c r="AV112" s="30">
        <f t="shared" si="23"/>
        <v>8.3581631562167882</v>
      </c>
      <c r="AW112" s="30">
        <f t="shared" si="23"/>
        <v>8.3038749989863678</v>
      </c>
      <c r="AX112" s="30">
        <f t="shared" si="23"/>
        <v>8.3661398312575628</v>
      </c>
      <c r="AY112" s="31">
        <f t="shared" si="23"/>
        <v>8.3091081982769346</v>
      </c>
      <c r="AZ112" s="30">
        <f t="shared" si="23"/>
        <v>8.4124204195353567</v>
      </c>
      <c r="BA112" s="30">
        <f t="shared" si="23"/>
        <v>8.4124204195353531</v>
      </c>
      <c r="BB112" s="30">
        <f t="shared" si="23"/>
        <v>8.4124204195353531</v>
      </c>
      <c r="BC112" s="30">
        <f t="shared" si="23"/>
        <v>8.4124204195353549</v>
      </c>
      <c r="BD112" s="30">
        <f t="shared" si="23"/>
        <v>8.7176418997428158</v>
      </c>
      <c r="BE112" s="30">
        <f t="shared" si="23"/>
        <v>8.74891723631678</v>
      </c>
      <c r="BF112" s="30">
        <f t="shared" si="23"/>
        <v>8.7489172363167835</v>
      </c>
      <c r="BG112" s="30">
        <f t="shared" si="23"/>
        <v>8.7489172363167533</v>
      </c>
      <c r="BH112" s="30">
        <f t="shared" si="23"/>
        <v>8.7489172363167693</v>
      </c>
      <c r="BI112" s="30">
        <f t="shared" si="23"/>
        <v>8.7489172363167711</v>
      </c>
      <c r="BJ112" s="30">
        <f t="shared" si="15"/>
        <v>8.7489172363167729</v>
      </c>
      <c r="BK112" s="30">
        <f t="shared" si="15"/>
        <v>8.7489172363167675</v>
      </c>
      <c r="BL112" s="31">
        <f t="shared" si="15"/>
        <v>8.6910023223280994</v>
      </c>
    </row>
    <row r="113" spans="2:64" ht="15" x14ac:dyDescent="0.4">
      <c r="B113" t="s">
        <v>195</v>
      </c>
      <c r="C113" s="26">
        <v>52421</v>
      </c>
      <c r="D113" t="s">
        <v>147</v>
      </c>
      <c r="E113" t="s">
        <v>148</v>
      </c>
      <c r="F113" t="s">
        <v>32</v>
      </c>
      <c r="G113" t="s">
        <v>33</v>
      </c>
      <c r="H113" t="s">
        <v>34</v>
      </c>
      <c r="J113" s="27">
        <v>44930.801892685915</v>
      </c>
      <c r="K113" s="27">
        <v>23001.127164629455</v>
      </c>
      <c r="L113" s="27">
        <v>30898.21732548669</v>
      </c>
      <c r="M113" s="27">
        <v>20728.698624975172</v>
      </c>
      <c r="N113" s="28">
        <f t="shared" si="18"/>
        <v>119558.84500777724</v>
      </c>
      <c r="O113" s="27">
        <v>16768.708668552892</v>
      </c>
      <c r="P113" s="27">
        <v>11941.576022847623</v>
      </c>
      <c r="Q113" s="27">
        <v>11970.386264366998</v>
      </c>
      <c r="R113" s="27">
        <v>7039.3143039896586</v>
      </c>
      <c r="S113" s="27">
        <v>5998.7730529993023</v>
      </c>
      <c r="T113" s="27">
        <v>8067.2622862710396</v>
      </c>
      <c r="U113" s="27">
        <v>28741.714045785273</v>
      </c>
      <c r="V113" s="27">
        <v>49633.480416610822</v>
      </c>
      <c r="W113" s="27">
        <v>48081.5663482159</v>
      </c>
      <c r="X113" s="27">
        <v>38181.750256109597</v>
      </c>
      <c r="Y113" s="27">
        <v>30997.021370702645</v>
      </c>
      <c r="Z113" s="27">
        <v>23080.232500287573</v>
      </c>
      <c r="AA113" s="28">
        <f t="shared" si="19"/>
        <v>280501.78553673933</v>
      </c>
      <c r="AB113" s="29"/>
      <c r="AC113" s="27">
        <v>879608.2764392395</v>
      </c>
      <c r="AD113" s="27">
        <v>440636.88167467847</v>
      </c>
      <c r="AE113" s="27">
        <v>606045.80162315699</v>
      </c>
      <c r="AF113" s="27">
        <v>404934.98423922347</v>
      </c>
      <c r="AG113" s="28">
        <f t="shared" si="20"/>
        <v>2331225.9439762984</v>
      </c>
      <c r="AH113" s="27">
        <v>328553.84501772776</v>
      </c>
      <c r="AI113" s="27">
        <v>233974.52931100858</v>
      </c>
      <c r="AJ113" s="27">
        <v>234539.016166507</v>
      </c>
      <c r="AK113" s="27">
        <v>137923.18935097108</v>
      </c>
      <c r="AL113" s="27">
        <v>119877.41814420273</v>
      </c>
      <c r="AM113" s="27">
        <v>164386.61432571575</v>
      </c>
      <c r="AN113" s="27">
        <v>585669.94529794238</v>
      </c>
      <c r="AO113" s="27">
        <v>1011381.4963935869</v>
      </c>
      <c r="AP113" s="27">
        <v>979758.14135999279</v>
      </c>
      <c r="AQ113" s="27">
        <v>778029.57569799467</v>
      </c>
      <c r="AR113" s="27">
        <v>631626.34565424279</v>
      </c>
      <c r="AS113" s="27">
        <v>470305.92832334567</v>
      </c>
      <c r="AT113" s="28">
        <f t="shared" si="21"/>
        <v>5676026.0450432375</v>
      </c>
      <c r="AU113" s="30">
        <f t="shared" si="23"/>
        <v>19.576954770140148</v>
      </c>
      <c r="AV113" s="30">
        <f t="shared" si="23"/>
        <v>19.157186450943961</v>
      </c>
      <c r="AW113" s="30">
        <f t="shared" si="23"/>
        <v>19.614264319490506</v>
      </c>
      <c r="AX113" s="30">
        <f t="shared" si="23"/>
        <v>19.534993082070944</v>
      </c>
      <c r="AY113" s="31">
        <f t="shared" si="23"/>
        <v>19.498565278249831</v>
      </c>
      <c r="AZ113" s="30">
        <f t="shared" si="23"/>
        <v>19.593270508293788</v>
      </c>
      <c r="BA113" s="30">
        <f t="shared" si="23"/>
        <v>19.593270508293791</v>
      </c>
      <c r="BB113" s="30">
        <f t="shared" si="23"/>
        <v>19.593270508293791</v>
      </c>
      <c r="BC113" s="30">
        <f t="shared" si="23"/>
        <v>19.593270508293774</v>
      </c>
      <c r="BD113" s="30">
        <f t="shared" si="23"/>
        <v>19.983656171867629</v>
      </c>
      <c r="BE113" s="30">
        <f t="shared" si="23"/>
        <v>20.37700132862555</v>
      </c>
      <c r="BF113" s="30">
        <f t="shared" si="23"/>
        <v>20.377001328625557</v>
      </c>
      <c r="BG113" s="30">
        <f t="shared" si="23"/>
        <v>20.377001328625507</v>
      </c>
      <c r="BH113" s="30">
        <f t="shared" si="23"/>
        <v>20.377001328625546</v>
      </c>
      <c r="BI113" s="30">
        <f t="shared" si="23"/>
        <v>20.377001328625564</v>
      </c>
      <c r="BJ113" s="30">
        <f t="shared" si="15"/>
        <v>20.377001328625564</v>
      </c>
      <c r="BK113" s="30">
        <f t="shared" si="15"/>
        <v>20.377001328625514</v>
      </c>
      <c r="BL113" s="31">
        <f t="shared" si="15"/>
        <v>20.235258161306099</v>
      </c>
    </row>
    <row r="114" spans="2:64" ht="15" x14ac:dyDescent="0.4">
      <c r="B114" t="s">
        <v>196</v>
      </c>
      <c r="C114" s="26">
        <v>53571</v>
      </c>
      <c r="D114" t="s">
        <v>147</v>
      </c>
      <c r="E114" t="s">
        <v>148</v>
      </c>
      <c r="F114" t="s">
        <v>32</v>
      </c>
      <c r="G114" t="s">
        <v>33</v>
      </c>
      <c r="H114" t="s">
        <v>34</v>
      </c>
      <c r="J114" s="27">
        <v>15337.181549182073</v>
      </c>
      <c r="K114" s="27">
        <v>5624.7783401275137</v>
      </c>
      <c r="L114" s="27">
        <v>5680.7418171779509</v>
      </c>
      <c r="M114" s="27">
        <v>4770.8027270694047</v>
      </c>
      <c r="N114" s="28">
        <f t="shared" si="18"/>
        <v>31413.50443355694</v>
      </c>
      <c r="O114" s="27">
        <v>4709.4462788867677</v>
      </c>
      <c r="P114" s="27">
        <v>3353.7591878084895</v>
      </c>
      <c r="Q114" s="27">
        <v>3361.8504658787983</v>
      </c>
      <c r="R114" s="27">
        <v>1976.9723006165973</v>
      </c>
      <c r="S114" s="27">
        <v>1684.7391168118932</v>
      </c>
      <c r="T114" s="27">
        <v>2265.6686991128554</v>
      </c>
      <c r="U114" s="27">
        <v>8072.032315499232</v>
      </c>
      <c r="V114" s="27">
        <v>13939.42815015692</v>
      </c>
      <c r="W114" s="27">
        <v>13503.577299682054</v>
      </c>
      <c r="X114" s="27">
        <v>10723.24084216659</v>
      </c>
      <c r="Y114" s="27">
        <v>8705.4292513644687</v>
      </c>
      <c r="Z114" s="27">
        <v>6482.0206023473611</v>
      </c>
      <c r="AA114" s="28">
        <f t="shared" si="19"/>
        <v>78778.164510332019</v>
      </c>
      <c r="AB114" s="29"/>
      <c r="AC114" s="27">
        <v>356229.81093858724</v>
      </c>
      <c r="AD114" s="27">
        <v>123553.76054495647</v>
      </c>
      <c r="AE114" s="27">
        <v>127426.92567926219</v>
      </c>
      <c r="AF114" s="27">
        <v>108008.10119009516</v>
      </c>
      <c r="AG114" s="28">
        <f t="shared" si="20"/>
        <v>715218.59835290106</v>
      </c>
      <c r="AH114" s="27">
        <v>107261.52318220808</v>
      </c>
      <c r="AI114" s="27">
        <v>76384.63156133442</v>
      </c>
      <c r="AJ114" s="27">
        <v>76568.917092778676</v>
      </c>
      <c r="AK114" s="27">
        <v>45027.174681626449</v>
      </c>
      <c r="AL114" s="27">
        <v>39233.9288770196</v>
      </c>
      <c r="AM114" s="27">
        <v>53666.572194250439</v>
      </c>
      <c r="AN114" s="27">
        <v>191201.08124532277</v>
      </c>
      <c r="AO114" s="27">
        <v>330181.25176901714</v>
      </c>
      <c r="AP114" s="27">
        <v>319857.31467172905</v>
      </c>
      <c r="AQ114" s="27">
        <v>253999.88049347274</v>
      </c>
      <c r="AR114" s="27">
        <v>206204.2643671704</v>
      </c>
      <c r="AS114" s="27">
        <v>153538.69996822742</v>
      </c>
      <c r="AT114" s="28">
        <f t="shared" si="21"/>
        <v>1853125.2401041572</v>
      </c>
      <c r="AU114" s="30">
        <f t="shared" si="23"/>
        <v>23.226549793145331</v>
      </c>
      <c r="AV114" s="30">
        <f t="shared" si="23"/>
        <v>21.9659785815054</v>
      </c>
      <c r="AW114" s="30">
        <f t="shared" si="23"/>
        <v>22.431388325717762</v>
      </c>
      <c r="AX114" s="30">
        <f t="shared" si="23"/>
        <v>22.639397889428572</v>
      </c>
      <c r="AY114" s="31">
        <f t="shared" si="23"/>
        <v>22.767870419095331</v>
      </c>
      <c r="AZ114" s="30">
        <f t="shared" si="23"/>
        <v>22.775824763747568</v>
      </c>
      <c r="BA114" s="30">
        <f t="shared" si="23"/>
        <v>22.775824763747536</v>
      </c>
      <c r="BB114" s="30">
        <f t="shared" si="23"/>
        <v>22.775824763747579</v>
      </c>
      <c r="BC114" s="30">
        <f t="shared" si="23"/>
        <v>22.775824763747543</v>
      </c>
      <c r="BD114" s="30">
        <f t="shared" si="23"/>
        <v>23.287836369148781</v>
      </c>
      <c r="BE114" s="30">
        <f t="shared" si="23"/>
        <v>23.686857754297488</v>
      </c>
      <c r="BF114" s="30">
        <f t="shared" si="23"/>
        <v>23.686857754297474</v>
      </c>
      <c r="BG114" s="30">
        <f t="shared" si="23"/>
        <v>23.686857754297488</v>
      </c>
      <c r="BH114" s="30">
        <f t="shared" si="23"/>
        <v>23.686857754297463</v>
      </c>
      <c r="BI114" s="30">
        <f t="shared" si="23"/>
        <v>23.686857754297446</v>
      </c>
      <c r="BJ114" s="30">
        <f t="shared" si="15"/>
        <v>23.68685775429746</v>
      </c>
      <c r="BK114" s="30">
        <f t="shared" si="15"/>
        <v>23.686857754297449</v>
      </c>
      <c r="BL114" s="31">
        <f t="shared" si="15"/>
        <v>23.523336087135082</v>
      </c>
    </row>
    <row r="115" spans="2:64" ht="15" x14ac:dyDescent="0.4">
      <c r="B115" t="s">
        <v>197</v>
      </c>
      <c r="C115" s="26">
        <v>52100</v>
      </c>
      <c r="D115" t="s">
        <v>147</v>
      </c>
      <c r="E115" t="s">
        <v>151</v>
      </c>
      <c r="F115" t="s">
        <v>32</v>
      </c>
      <c r="G115" t="s">
        <v>33</v>
      </c>
      <c r="H115" t="s">
        <v>34</v>
      </c>
      <c r="J115" s="27">
        <v>31245.984107039105</v>
      </c>
      <c r="K115" s="27">
        <v>15095.527309169993</v>
      </c>
      <c r="L115" s="27">
        <v>22528.72823561282</v>
      </c>
      <c r="M115" s="27">
        <v>17836.17924854477</v>
      </c>
      <c r="N115" s="28">
        <f t="shared" si="18"/>
        <v>86706.418900366683</v>
      </c>
      <c r="O115" s="27">
        <v>17049.015799813511</v>
      </c>
      <c r="P115" s="27">
        <v>12141.192402609309</v>
      </c>
      <c r="Q115" s="27">
        <v>12170.484238526387</v>
      </c>
      <c r="R115" s="27">
        <v>7156.9840684059054</v>
      </c>
      <c r="S115" s="27">
        <v>6099.0490431668168</v>
      </c>
      <c r="T115" s="27">
        <v>8202.115314807008</v>
      </c>
      <c r="U115" s="27">
        <v>29222.162932514191</v>
      </c>
      <c r="V115" s="27">
        <v>50463.157810681791</v>
      </c>
      <c r="W115" s="27">
        <v>48885.301817415217</v>
      </c>
      <c r="X115" s="27">
        <v>38819.999574667527</v>
      </c>
      <c r="Y115" s="27">
        <v>31515.170162585509</v>
      </c>
      <c r="Z115" s="27">
        <v>23466.043589791207</v>
      </c>
      <c r="AA115" s="28">
        <f t="shared" si="19"/>
        <v>285190.67675498442</v>
      </c>
      <c r="AB115" s="29"/>
      <c r="AC115" s="27">
        <v>544836.72993088025</v>
      </c>
      <c r="AD115" s="27">
        <v>256265.96527328249</v>
      </c>
      <c r="AE115" s="27">
        <v>394228.13634297461</v>
      </c>
      <c r="AF115" s="27">
        <v>312679.19041642948</v>
      </c>
      <c r="AG115" s="28">
        <f t="shared" si="20"/>
        <v>1508010.0219635668</v>
      </c>
      <c r="AH115" s="27">
        <v>295772.98020640714</v>
      </c>
      <c r="AI115" s="27">
        <v>210630.14442267231</v>
      </c>
      <c r="AJ115" s="27">
        <v>211138.31062455982</v>
      </c>
      <c r="AK115" s="27">
        <v>124162.1529393705</v>
      </c>
      <c r="AL115" s="27">
        <v>107519.42334349996</v>
      </c>
      <c r="AM115" s="27">
        <v>147985.2376177024</v>
      </c>
      <c r="AN115" s="27">
        <v>527235.78726874746</v>
      </c>
      <c r="AO115" s="27">
        <v>910472.7394007711</v>
      </c>
      <c r="AP115" s="27">
        <v>882004.54733956815</v>
      </c>
      <c r="AQ115" s="27">
        <v>700403.08394657704</v>
      </c>
      <c r="AR115" s="27">
        <v>568606.9710155346</v>
      </c>
      <c r="AS115" s="27">
        <v>423382.00614097639</v>
      </c>
      <c r="AT115" s="28">
        <f t="shared" si="21"/>
        <v>5109313.3842663867</v>
      </c>
      <c r="AU115" s="30">
        <f t="shared" si="23"/>
        <v>17.437016163883257</v>
      </c>
      <c r="AV115" s="30">
        <f t="shared" si="23"/>
        <v>16.976284433443414</v>
      </c>
      <c r="AW115" s="30">
        <f t="shared" si="23"/>
        <v>17.498907715518055</v>
      </c>
      <c r="AX115" s="30">
        <f t="shared" si="23"/>
        <v>17.530614940525481</v>
      </c>
      <c r="AY115" s="31">
        <f t="shared" si="23"/>
        <v>17.392138218698701</v>
      </c>
      <c r="AZ115" s="30">
        <f t="shared" si="23"/>
        <v>17.348390292983506</v>
      </c>
      <c r="BA115" s="30">
        <f t="shared" si="23"/>
        <v>17.348390292983495</v>
      </c>
      <c r="BB115" s="30">
        <f t="shared" si="23"/>
        <v>17.348390292983495</v>
      </c>
      <c r="BC115" s="30">
        <f t="shared" si="23"/>
        <v>17.348390292983492</v>
      </c>
      <c r="BD115" s="30">
        <f t="shared" si="23"/>
        <v>17.628883221387007</v>
      </c>
      <c r="BE115" s="30">
        <f t="shared" si="23"/>
        <v>18.042325904702842</v>
      </c>
      <c r="BF115" s="30">
        <f t="shared" si="23"/>
        <v>18.042325904702825</v>
      </c>
      <c r="BG115" s="30">
        <f t="shared" si="23"/>
        <v>18.042325904702832</v>
      </c>
      <c r="BH115" s="30">
        <f t="shared" si="23"/>
        <v>18.042325904702857</v>
      </c>
      <c r="BI115" s="30">
        <f t="shared" si="23"/>
        <v>18.042325904702839</v>
      </c>
      <c r="BJ115" s="30">
        <f t="shared" si="23"/>
        <v>18.042325904702842</v>
      </c>
      <c r="BK115" s="30">
        <f t="shared" ref="BK115:BL178" si="24">IFERROR(AS115/Z115,0)</f>
        <v>18.04232590470286</v>
      </c>
      <c r="BL115" s="31">
        <f t="shared" si="24"/>
        <v>17.915429222309207</v>
      </c>
    </row>
    <row r="116" spans="2:64" ht="15" x14ac:dyDescent="0.4">
      <c r="B116" t="s">
        <v>198</v>
      </c>
      <c r="C116" s="26">
        <v>51144</v>
      </c>
      <c r="D116" t="s">
        <v>147</v>
      </c>
      <c r="E116" t="s">
        <v>148</v>
      </c>
      <c r="F116" t="s">
        <v>32</v>
      </c>
      <c r="G116" t="s">
        <v>33</v>
      </c>
      <c r="H116" t="s">
        <v>34</v>
      </c>
      <c r="J116" s="27">
        <v>8273.2505705671538</v>
      </c>
      <c r="K116" s="27">
        <v>9808.888686857892</v>
      </c>
      <c r="L116" s="27">
        <v>14899.326722257396</v>
      </c>
      <c r="M116" s="27">
        <v>10078.162024761892</v>
      </c>
      <c r="N116" s="28">
        <f t="shared" si="18"/>
        <v>43059.628004444334</v>
      </c>
      <c r="O116" s="27">
        <v>5842.1937044012684</v>
      </c>
      <c r="P116" s="27">
        <v>4160.4277133243295</v>
      </c>
      <c r="Q116" s="27">
        <v>4170.4651595555069</v>
      </c>
      <c r="R116" s="27">
        <v>2452.4868624614919</v>
      </c>
      <c r="S116" s="27">
        <v>2089.9638044334206</v>
      </c>
      <c r="T116" s="27">
        <v>2810.6224439925054</v>
      </c>
      <c r="U116" s="27">
        <v>10013.571359068703</v>
      </c>
      <c r="V116" s="27">
        <v>17292.232368568595</v>
      </c>
      <c r="W116" s="27">
        <v>16751.547764920404</v>
      </c>
      <c r="X116" s="27">
        <v>13302.466241040309</v>
      </c>
      <c r="Y116" s="27">
        <v>10799.31714996741</v>
      </c>
      <c r="Z116" s="27">
        <v>8041.1194251449679</v>
      </c>
      <c r="AA116" s="28">
        <f t="shared" si="19"/>
        <v>97726.41399687891</v>
      </c>
      <c r="AB116" s="29"/>
      <c r="AC116" s="27">
        <v>89642.317955429549</v>
      </c>
      <c r="AD116" s="27">
        <v>110813.3349271581</v>
      </c>
      <c r="AE116" s="27">
        <v>176721.09973460957</v>
      </c>
      <c r="AF116" s="27">
        <v>118886.07865601325</v>
      </c>
      <c r="AG116" s="28">
        <f t="shared" si="20"/>
        <v>496062.83127321047</v>
      </c>
      <c r="AH116" s="27">
        <v>64530.519209666723</v>
      </c>
      <c r="AI116" s="27">
        <v>45954.409261173219</v>
      </c>
      <c r="AJ116" s="27">
        <v>46065.278850510746</v>
      </c>
      <c r="AK116" s="27">
        <v>27089.182351194548</v>
      </c>
      <c r="AL116" s="27">
        <v>23796.714258623837</v>
      </c>
      <c r="AM116" s="27">
        <v>32286.803927025394</v>
      </c>
      <c r="AN116" s="27">
        <v>115030.1121983036</v>
      </c>
      <c r="AO116" s="27">
        <v>198643.15719028134</v>
      </c>
      <c r="AP116" s="27">
        <v>192432.08539667836</v>
      </c>
      <c r="AQ116" s="27">
        <v>152811.03308213985</v>
      </c>
      <c r="AR116" s="27">
        <v>124056.30507648889</v>
      </c>
      <c r="AS116" s="27">
        <v>92371.725981329713</v>
      </c>
      <c r="AT116" s="28">
        <f t="shared" si="21"/>
        <v>1115067.3267834163</v>
      </c>
      <c r="AU116" s="30">
        <f t="shared" si="23"/>
        <v>10.835199199011365</v>
      </c>
      <c r="AV116" s="30">
        <f t="shared" si="23"/>
        <v>11.29723646223324</v>
      </c>
      <c r="AW116" s="30">
        <f t="shared" si="23"/>
        <v>11.86101244901317</v>
      </c>
      <c r="AX116" s="30">
        <f t="shared" si="23"/>
        <v>11.796404777370313</v>
      </c>
      <c r="AY116" s="31">
        <f t="shared" si="23"/>
        <v>11.520369642348284</v>
      </c>
      <c r="AZ116" s="30">
        <f t="shared" si="23"/>
        <v>11.045597334619714</v>
      </c>
      <c r="BA116" s="30">
        <f t="shared" si="23"/>
        <v>11.045597334619718</v>
      </c>
      <c r="BB116" s="30">
        <f t="shared" si="23"/>
        <v>11.045597334619728</v>
      </c>
      <c r="BC116" s="30">
        <f t="shared" si="23"/>
        <v>11.045597334619725</v>
      </c>
      <c r="BD116" s="30">
        <f t="shared" si="23"/>
        <v>11.386184874658637</v>
      </c>
      <c r="BE116" s="30">
        <f t="shared" si="23"/>
        <v>11.4874212280045</v>
      </c>
      <c r="BF116" s="30">
        <f t="shared" si="23"/>
        <v>11.487421228004491</v>
      </c>
      <c r="BG116" s="30">
        <f t="shared" si="23"/>
        <v>11.487421228004496</v>
      </c>
      <c r="BH116" s="30">
        <f t="shared" si="23"/>
        <v>11.487421228004523</v>
      </c>
      <c r="BI116" s="30">
        <f t="shared" si="23"/>
        <v>11.487421228004514</v>
      </c>
      <c r="BJ116" s="30">
        <f t="shared" si="23"/>
        <v>11.48742122800452</v>
      </c>
      <c r="BK116" s="30">
        <f t="shared" si="24"/>
        <v>11.487421228004509</v>
      </c>
      <c r="BL116" s="31">
        <f t="shared" si="24"/>
        <v>11.410091511380211</v>
      </c>
    </row>
    <row r="117" spans="2:64" ht="15" x14ac:dyDescent="0.4">
      <c r="B117" t="s">
        <v>199</v>
      </c>
      <c r="C117" s="26">
        <v>52261</v>
      </c>
      <c r="D117" t="s">
        <v>147</v>
      </c>
      <c r="E117" t="s">
        <v>148</v>
      </c>
      <c r="F117" t="s">
        <v>32</v>
      </c>
      <c r="G117" t="s">
        <v>33</v>
      </c>
      <c r="H117" t="s">
        <v>34</v>
      </c>
      <c r="J117" s="27">
        <v>12436.324594117805</v>
      </c>
      <c r="K117" s="27">
        <v>6981.0675837533272</v>
      </c>
      <c r="L117" s="27">
        <v>6333.1634584153044</v>
      </c>
      <c r="M117" s="27">
        <v>5601.7307022889881</v>
      </c>
      <c r="N117" s="28">
        <f t="shared" si="18"/>
        <v>31352.286338575421</v>
      </c>
      <c r="O117" s="27">
        <v>6065.9550796440417</v>
      </c>
      <c r="P117" s="27">
        <v>4319.7759091964153</v>
      </c>
      <c r="Q117" s="27">
        <v>4330.1977988209919</v>
      </c>
      <c r="R117" s="27">
        <v>2546.4193578348991</v>
      </c>
      <c r="S117" s="27">
        <v>2170.0113343082548</v>
      </c>
      <c r="T117" s="27">
        <v>2918.2718604920256</v>
      </c>
      <c r="U117" s="27">
        <v>10397.100322976357</v>
      </c>
      <c r="V117" s="27">
        <v>17954.540722516766</v>
      </c>
      <c r="W117" s="27">
        <v>17393.147402826915</v>
      </c>
      <c r="X117" s="27">
        <v>13811.962894321994</v>
      </c>
      <c r="Y117" s="27">
        <v>11212.940898070648</v>
      </c>
      <c r="Z117" s="27">
        <v>8349.1016715580372</v>
      </c>
      <c r="AA117" s="28">
        <f t="shared" si="19"/>
        <v>101469.42525256734</v>
      </c>
      <c r="AB117" s="29"/>
      <c r="AC117" s="27">
        <v>214114.08904464598</v>
      </c>
      <c r="AD117" s="27">
        <v>116631.30849350088</v>
      </c>
      <c r="AE117" s="27">
        <v>106979.14605536078</v>
      </c>
      <c r="AF117" s="27">
        <v>96038.474619255619</v>
      </c>
      <c r="AG117" s="28">
        <f t="shared" si="20"/>
        <v>533763.01821276324</v>
      </c>
      <c r="AH117" s="27">
        <v>105223.18859123516</v>
      </c>
      <c r="AI117" s="27">
        <v>74933.063169324101</v>
      </c>
      <c r="AJ117" s="27">
        <v>75113.846647448416</v>
      </c>
      <c r="AK117" s="27">
        <v>44171.504866725314</v>
      </c>
      <c r="AL117" s="27">
        <v>38666.749684832263</v>
      </c>
      <c r="AM117" s="27">
        <v>52646.724375227226</v>
      </c>
      <c r="AN117" s="27">
        <v>187567.60890434473</v>
      </c>
      <c r="AO117" s="27">
        <v>323906.68240989861</v>
      </c>
      <c r="AP117" s="27">
        <v>313778.93531137344</v>
      </c>
      <c r="AQ117" s="27">
        <v>249173.01688802778</v>
      </c>
      <c r="AR117" s="27">
        <v>202285.68040158864</v>
      </c>
      <c r="AS117" s="27">
        <v>150620.94126115972</v>
      </c>
      <c r="AT117" s="28">
        <f t="shared" si="21"/>
        <v>1818087.9425111853</v>
      </c>
      <c r="AU117" s="30">
        <f t="shared" si="23"/>
        <v>17.216830215731001</v>
      </c>
      <c r="AV117" s="30">
        <f t="shared" si="23"/>
        <v>16.706801229790528</v>
      </c>
      <c r="AW117" s="30">
        <f t="shared" si="23"/>
        <v>16.891897194475586</v>
      </c>
      <c r="AX117" s="30">
        <f t="shared" si="23"/>
        <v>17.144429056543583</v>
      </c>
      <c r="AY117" s="31">
        <f t="shared" si="23"/>
        <v>17.024691993707286</v>
      </c>
      <c r="AZ117" s="30">
        <f t="shared" si="23"/>
        <v>17.346516287985732</v>
      </c>
      <c r="BA117" s="30">
        <f t="shared" si="23"/>
        <v>17.346516287985757</v>
      </c>
      <c r="BB117" s="30">
        <f t="shared" si="23"/>
        <v>17.346516287985757</v>
      </c>
      <c r="BC117" s="30">
        <f t="shared" si="23"/>
        <v>17.346516287985761</v>
      </c>
      <c r="BD117" s="30">
        <f t="shared" si="23"/>
        <v>17.81868558633969</v>
      </c>
      <c r="BE117" s="30">
        <f t="shared" si="23"/>
        <v>18.040376939505183</v>
      </c>
      <c r="BF117" s="30">
        <f t="shared" si="23"/>
        <v>18.040376939505197</v>
      </c>
      <c r="BG117" s="30">
        <f t="shared" si="23"/>
        <v>18.040376939505208</v>
      </c>
      <c r="BH117" s="30">
        <f t="shared" si="23"/>
        <v>18.040376939505201</v>
      </c>
      <c r="BI117" s="30">
        <f t="shared" si="23"/>
        <v>18.040376939505183</v>
      </c>
      <c r="BJ117" s="30">
        <f t="shared" si="23"/>
        <v>18.040376939505219</v>
      </c>
      <c r="BK117" s="30">
        <f t="shared" si="24"/>
        <v>18.040376939505176</v>
      </c>
      <c r="BL117" s="31">
        <f t="shared" si="24"/>
        <v>17.917593777492939</v>
      </c>
    </row>
    <row r="118" spans="2:64" ht="15" x14ac:dyDescent="0.4">
      <c r="B118" t="s">
        <v>200</v>
      </c>
      <c r="C118" s="26">
        <v>60632</v>
      </c>
      <c r="D118" t="s">
        <v>147</v>
      </c>
      <c r="E118" t="s">
        <v>148</v>
      </c>
      <c r="F118" t="s">
        <v>32</v>
      </c>
      <c r="G118" t="s">
        <v>33</v>
      </c>
      <c r="H118" t="s">
        <v>34</v>
      </c>
      <c r="J118" s="27">
        <v>2705.217541425875</v>
      </c>
      <c r="K118" s="27">
        <v>1755.1635867899777</v>
      </c>
      <c r="L118" s="27">
        <v>1444.2534545067188</v>
      </c>
      <c r="M118" s="27">
        <v>1446.7100696170792</v>
      </c>
      <c r="N118" s="28">
        <f t="shared" si="18"/>
        <v>7351.3446523396515</v>
      </c>
      <c r="O118" s="27">
        <v>2238.9937462697212</v>
      </c>
      <c r="P118" s="27">
        <v>1594.4646999504218</v>
      </c>
      <c r="Q118" s="27">
        <v>1598.3115048455059</v>
      </c>
      <c r="R118" s="27">
        <v>939.90425954606144</v>
      </c>
      <c r="S118" s="27">
        <v>800.96897241377303</v>
      </c>
      <c r="T118" s="27">
        <v>1077.1580665809959</v>
      </c>
      <c r="U118" s="27">
        <v>3837.6549606511421</v>
      </c>
      <c r="V118" s="27">
        <v>6627.1681651191975</v>
      </c>
      <c r="W118" s="27">
        <v>6419.9532887345722</v>
      </c>
      <c r="X118" s="27">
        <v>5098.1087294683857</v>
      </c>
      <c r="Y118" s="27">
        <v>4138.7884048665619</v>
      </c>
      <c r="Z118" s="27">
        <v>3081.7218697052194</v>
      </c>
      <c r="AA118" s="28">
        <f t="shared" si="19"/>
        <v>37453.196668151562</v>
      </c>
      <c r="AB118" s="29"/>
      <c r="AC118" s="27">
        <v>65076.137280717885</v>
      </c>
      <c r="AD118" s="27">
        <v>40908.798249864267</v>
      </c>
      <c r="AE118" s="27">
        <v>33723.152608190991</v>
      </c>
      <c r="AF118" s="27">
        <v>35244.177154977151</v>
      </c>
      <c r="AG118" s="28">
        <f t="shared" si="20"/>
        <v>174952.26529375027</v>
      </c>
      <c r="AH118" s="27">
        <v>55980.770009759646</v>
      </c>
      <c r="AI118" s="27">
        <v>39865.837859223968</v>
      </c>
      <c r="AJ118" s="27">
        <v>39962.018163641013</v>
      </c>
      <c r="AK118" s="27">
        <v>23500.094304641723</v>
      </c>
      <c r="AL118" s="27">
        <v>20484.627527341254</v>
      </c>
      <c r="AM118" s="27">
        <v>28009.074886201422</v>
      </c>
      <c r="AN118" s="27">
        <v>99789.593110936054</v>
      </c>
      <c r="AO118" s="27">
        <v>172324.61528088665</v>
      </c>
      <c r="AP118" s="27">
        <v>166936.4580825523</v>
      </c>
      <c r="AQ118" s="27">
        <v>132564.86082392436</v>
      </c>
      <c r="AR118" s="27">
        <v>107619.89160792576</v>
      </c>
      <c r="AS118" s="27">
        <v>80133.251845751831</v>
      </c>
      <c r="AT118" s="28">
        <f t="shared" si="21"/>
        <v>967171.09350278601</v>
      </c>
      <c r="AU118" s="30">
        <f t="shared" si="23"/>
        <v>24.055787116631418</v>
      </c>
      <c r="AV118" s="30">
        <f t="shared" si="23"/>
        <v>23.307684000374262</v>
      </c>
      <c r="AW118" s="30">
        <f t="shared" si="23"/>
        <v>23.349885370161051</v>
      </c>
      <c r="AX118" s="30">
        <f t="shared" si="23"/>
        <v>24.361603541133654</v>
      </c>
      <c r="AY118" s="31">
        <f t="shared" si="23"/>
        <v>23.798675421654959</v>
      </c>
      <c r="AZ118" s="30">
        <f t="shared" si="23"/>
        <v>25.002646882344575</v>
      </c>
      <c r="BA118" s="30">
        <f t="shared" si="23"/>
        <v>25.002646882344621</v>
      </c>
      <c r="BB118" s="30">
        <f t="shared" si="23"/>
        <v>25.002646882344614</v>
      </c>
      <c r="BC118" s="30">
        <f t="shared" si="23"/>
        <v>25.002646882344578</v>
      </c>
      <c r="BD118" s="30">
        <f t="shared" si="23"/>
        <v>25.574807805113188</v>
      </c>
      <c r="BE118" s="30">
        <f t="shared" si="23"/>
        <v>26.002752757638387</v>
      </c>
      <c r="BF118" s="30">
        <f t="shared" si="23"/>
        <v>26.002752757638369</v>
      </c>
      <c r="BG118" s="30">
        <f t="shared" si="23"/>
        <v>26.002752757638401</v>
      </c>
      <c r="BH118" s="30">
        <f t="shared" si="23"/>
        <v>26.002752757638351</v>
      </c>
      <c r="BI118" s="30">
        <f t="shared" si="23"/>
        <v>26.00275275763838</v>
      </c>
      <c r="BJ118" s="30">
        <f t="shared" si="23"/>
        <v>26.002752757638383</v>
      </c>
      <c r="BK118" s="30">
        <f t="shared" si="24"/>
        <v>26.002752757638358</v>
      </c>
      <c r="BL118" s="31">
        <f t="shared" si="24"/>
        <v>25.823459131466414</v>
      </c>
    </row>
    <row r="119" spans="2:64" ht="15" x14ac:dyDescent="0.4">
      <c r="B119" t="s">
        <v>201</v>
      </c>
      <c r="C119" s="26">
        <v>60634</v>
      </c>
      <c r="D119" t="s">
        <v>147</v>
      </c>
      <c r="E119" t="s">
        <v>148</v>
      </c>
      <c r="F119" t="s">
        <v>32</v>
      </c>
      <c r="G119" t="s">
        <v>33</v>
      </c>
      <c r="H119" t="s">
        <v>34</v>
      </c>
      <c r="J119" s="27">
        <v>8939.5030335639676</v>
      </c>
      <c r="K119" s="27">
        <v>7002.7939289725118</v>
      </c>
      <c r="L119" s="27">
        <v>8024.0304329094533</v>
      </c>
      <c r="M119" s="27">
        <v>5978.7852411697377</v>
      </c>
      <c r="N119" s="28">
        <f t="shared" si="18"/>
        <v>29945.112636615671</v>
      </c>
      <c r="O119" s="27">
        <v>6683.8566993847899</v>
      </c>
      <c r="P119" s="27">
        <v>4759.8049724129869</v>
      </c>
      <c r="Q119" s="27">
        <v>4771.2884759788594</v>
      </c>
      <c r="R119" s="27">
        <v>2805.8074715097764</v>
      </c>
      <c r="S119" s="27">
        <v>2391.0570724846662</v>
      </c>
      <c r="T119" s="27">
        <v>3215.5383067097109</v>
      </c>
      <c r="U119" s="27">
        <v>11456.189130233268</v>
      </c>
      <c r="V119" s="27">
        <v>19783.45960643233</v>
      </c>
      <c r="W119" s="27">
        <v>19164.880594301059</v>
      </c>
      <c r="X119" s="27">
        <v>15218.902796142303</v>
      </c>
      <c r="Y119" s="27">
        <v>12355.134378240928</v>
      </c>
      <c r="Z119" s="27">
        <v>9199.5734239038684</v>
      </c>
      <c r="AA119" s="28">
        <f t="shared" si="19"/>
        <v>111805.49292773455</v>
      </c>
      <c r="AB119" s="29"/>
      <c r="AC119" s="27">
        <v>262645.75740265643</v>
      </c>
      <c r="AD119" s="27">
        <v>203354.89870112707</v>
      </c>
      <c r="AE119" s="27">
        <v>246304.01538473324</v>
      </c>
      <c r="AF119" s="27">
        <v>183234.36351831516</v>
      </c>
      <c r="AG119" s="28">
        <f t="shared" si="20"/>
        <v>895539.03500683187</v>
      </c>
      <c r="AH119" s="27">
        <v>201500.21913055648</v>
      </c>
      <c r="AI119" s="27">
        <v>143495.25851567241</v>
      </c>
      <c r="AJ119" s="27">
        <v>143841.4551187685</v>
      </c>
      <c r="AK119" s="27">
        <v>84587.513732814099</v>
      </c>
      <c r="AL119" s="27">
        <v>73522.560537612575</v>
      </c>
      <c r="AM119" s="27">
        <v>100817.38293756606</v>
      </c>
      <c r="AN119" s="27">
        <v>359188.07253450004</v>
      </c>
      <c r="AO119" s="27">
        <v>620274.56454482162</v>
      </c>
      <c r="AP119" s="27">
        <v>600880.13935229613</v>
      </c>
      <c r="AQ119" s="27">
        <v>477161.14837962319</v>
      </c>
      <c r="AR119" s="27">
        <v>387372.8735425247</v>
      </c>
      <c r="AS119" s="27">
        <v>288435.97191942914</v>
      </c>
      <c r="AT119" s="28">
        <f t="shared" si="21"/>
        <v>3481077.1602461846</v>
      </c>
      <c r="AU119" s="30">
        <f t="shared" si="23"/>
        <v>29.380353294420864</v>
      </c>
      <c r="AV119" s="30">
        <f t="shared" si="23"/>
        <v>29.039109356023047</v>
      </c>
      <c r="AW119" s="30">
        <f t="shared" si="23"/>
        <v>30.695797759508903</v>
      </c>
      <c r="AX119" s="30">
        <f t="shared" si="23"/>
        <v>30.647423536234214</v>
      </c>
      <c r="AY119" s="31">
        <f t="shared" si="23"/>
        <v>29.906016580208249</v>
      </c>
      <c r="AZ119" s="30">
        <f t="shared" si="23"/>
        <v>30.147297913957882</v>
      </c>
      <c r="BA119" s="30">
        <f t="shared" si="23"/>
        <v>30.147297913957885</v>
      </c>
      <c r="BB119" s="30">
        <f t="shared" si="23"/>
        <v>30.147297913957829</v>
      </c>
      <c r="BC119" s="30">
        <f t="shared" si="23"/>
        <v>30.147297913957875</v>
      </c>
      <c r="BD119" s="30">
        <f t="shared" si="23"/>
        <v>30.74897767338177</v>
      </c>
      <c r="BE119" s="30">
        <f t="shared" si="23"/>
        <v>31.353189830516158</v>
      </c>
      <c r="BF119" s="30">
        <f t="shared" ref="BF119:BJ182" si="25">IFERROR(AN119/U119,0)</f>
        <v>31.353189830516211</v>
      </c>
      <c r="BG119" s="30">
        <f t="shared" si="25"/>
        <v>31.353189830516172</v>
      </c>
      <c r="BH119" s="30">
        <f t="shared" si="25"/>
        <v>31.353189830516143</v>
      </c>
      <c r="BI119" s="30">
        <f t="shared" si="25"/>
        <v>31.353189830516186</v>
      </c>
      <c r="BJ119" s="30">
        <f t="shared" si="25"/>
        <v>31.353189830516211</v>
      </c>
      <c r="BK119" s="30">
        <f t="shared" si="24"/>
        <v>31.353189830516122</v>
      </c>
      <c r="BL119" s="31">
        <f t="shared" si="24"/>
        <v>31.135117507117275</v>
      </c>
    </row>
    <row r="120" spans="2:64" ht="15" x14ac:dyDescent="0.4">
      <c r="B120" t="s">
        <v>202</v>
      </c>
      <c r="C120" s="26">
        <v>52090</v>
      </c>
      <c r="D120" t="s">
        <v>147</v>
      </c>
      <c r="E120" t="s">
        <v>148</v>
      </c>
      <c r="F120" t="s">
        <v>32</v>
      </c>
      <c r="G120" t="s">
        <v>33</v>
      </c>
      <c r="H120" t="s">
        <v>34</v>
      </c>
      <c r="J120" s="27">
        <v>3721.5496467950488</v>
      </c>
      <c r="K120" s="27">
        <v>1833.6757486904135</v>
      </c>
      <c r="L120" s="27">
        <v>1564.5502337970963</v>
      </c>
      <c r="M120" s="27">
        <v>1365.4101507233772</v>
      </c>
      <c r="N120" s="28">
        <f t="shared" si="18"/>
        <v>8485.185780005937</v>
      </c>
      <c r="O120" s="27">
        <v>1661.0177176979005</v>
      </c>
      <c r="P120" s="27">
        <v>1182.8680277798676</v>
      </c>
      <c r="Q120" s="27">
        <v>1185.7218147088847</v>
      </c>
      <c r="R120" s="27">
        <v>697.27645762600673</v>
      </c>
      <c r="S120" s="27">
        <v>594.20606096917925</v>
      </c>
      <c r="T120" s="27">
        <v>799.09943309717335</v>
      </c>
      <c r="U120" s="27">
        <v>2846.9989675821525</v>
      </c>
      <c r="V120" s="27">
        <v>4916.4245138094393</v>
      </c>
      <c r="W120" s="27">
        <v>4762.7002876391407</v>
      </c>
      <c r="X120" s="27">
        <v>3782.0779716359275</v>
      </c>
      <c r="Y120" s="27">
        <v>3070.397530917377</v>
      </c>
      <c r="Z120" s="27">
        <v>2286.2031817309203</v>
      </c>
      <c r="AA120" s="28">
        <f t="shared" si="19"/>
        <v>27784.991965193971</v>
      </c>
      <c r="AB120" s="29"/>
      <c r="AC120" s="27">
        <v>67988.277085679729</v>
      </c>
      <c r="AD120" s="27">
        <v>31766.444745221903</v>
      </c>
      <c r="AE120" s="27">
        <v>27242.188218957766</v>
      </c>
      <c r="AF120" s="27">
        <v>24308.308024354072</v>
      </c>
      <c r="AG120" s="28">
        <f t="shared" si="20"/>
        <v>151305.21807421348</v>
      </c>
      <c r="AH120" s="27">
        <v>29498.839889549177</v>
      </c>
      <c r="AI120" s="27">
        <v>21007.141700032946</v>
      </c>
      <c r="AJ120" s="27">
        <v>21057.823521666171</v>
      </c>
      <c r="AK120" s="27">
        <v>12383.279457590097</v>
      </c>
      <c r="AL120" s="27">
        <v>10879.195403719918</v>
      </c>
      <c r="AM120" s="27">
        <v>14759.268501994566</v>
      </c>
      <c r="AN120" s="27">
        <v>52583.721683527539</v>
      </c>
      <c r="AO120" s="27">
        <v>90805.757661296899</v>
      </c>
      <c r="AP120" s="27">
        <v>87966.4900616253</v>
      </c>
      <c r="AQ120" s="27">
        <v>69854.516180173247</v>
      </c>
      <c r="AR120" s="27">
        <v>56709.865743528891</v>
      </c>
      <c r="AS120" s="27">
        <v>42225.892312925411</v>
      </c>
      <c r="AT120" s="28">
        <f t="shared" si="21"/>
        <v>509731.79211763019</v>
      </c>
      <c r="AU120" s="30">
        <f t="shared" ref="AU120:BE183" si="26">IFERROR(AC120/J120,0)</f>
        <v>18.268808302538801</v>
      </c>
      <c r="AV120" s="30">
        <f t="shared" si="26"/>
        <v>17.323916056537843</v>
      </c>
      <c r="AW120" s="30">
        <f t="shared" si="26"/>
        <v>17.412153109869884</v>
      </c>
      <c r="AX120" s="30">
        <f t="shared" si="26"/>
        <v>17.802934899433577</v>
      </c>
      <c r="AY120" s="31">
        <f t="shared" si="26"/>
        <v>17.831691844713813</v>
      </c>
      <c r="AZ120" s="30">
        <f t="shared" si="26"/>
        <v>17.759497430547164</v>
      </c>
      <c r="BA120" s="30">
        <f t="shared" si="26"/>
        <v>17.75949743054716</v>
      </c>
      <c r="BB120" s="30">
        <f t="shared" si="26"/>
        <v>17.759497430547174</v>
      </c>
      <c r="BC120" s="30">
        <f t="shared" si="26"/>
        <v>17.759497430547167</v>
      </c>
      <c r="BD120" s="30">
        <f t="shared" si="26"/>
        <v>18.308792384203244</v>
      </c>
      <c r="BE120" s="30">
        <f t="shared" si="26"/>
        <v>18.46987732776903</v>
      </c>
      <c r="BF120" s="30">
        <f t="shared" si="25"/>
        <v>18.469877327769066</v>
      </c>
      <c r="BG120" s="30">
        <f t="shared" si="25"/>
        <v>18.469877327769041</v>
      </c>
      <c r="BH120" s="30">
        <f t="shared" si="25"/>
        <v>18.469877327769051</v>
      </c>
      <c r="BI120" s="30">
        <f t="shared" si="25"/>
        <v>18.469877327769069</v>
      </c>
      <c r="BJ120" s="30">
        <f t="shared" si="25"/>
        <v>18.469877327769037</v>
      </c>
      <c r="BK120" s="30">
        <f t="shared" si="24"/>
        <v>18.469877327769058</v>
      </c>
      <c r="BL120" s="31">
        <f t="shared" si="24"/>
        <v>18.345579971956333</v>
      </c>
    </row>
    <row r="121" spans="2:64" ht="15" x14ac:dyDescent="0.4">
      <c r="B121" t="s">
        <v>203</v>
      </c>
      <c r="C121" s="26">
        <v>52515</v>
      </c>
      <c r="D121" t="s">
        <v>147</v>
      </c>
      <c r="E121" t="s">
        <v>148</v>
      </c>
      <c r="F121" t="s">
        <v>32</v>
      </c>
      <c r="G121" t="s">
        <v>33</v>
      </c>
      <c r="H121" t="s">
        <v>34</v>
      </c>
      <c r="J121" s="27">
        <v>6467.8357908741536</v>
      </c>
      <c r="K121" s="27">
        <v>3569.7980015055591</v>
      </c>
      <c r="L121" s="27">
        <v>3502.0457951367903</v>
      </c>
      <c r="M121" s="27">
        <v>2509.9459153339103</v>
      </c>
      <c r="N121" s="28">
        <f t="shared" si="18"/>
        <v>16049.625502850413</v>
      </c>
      <c r="O121" s="27">
        <v>3450.7197049895758</v>
      </c>
      <c r="P121" s="27">
        <v>2457.3765640015386</v>
      </c>
      <c r="Q121" s="27">
        <v>2463.3052297134586</v>
      </c>
      <c r="R121" s="27">
        <v>1448.5731166613639</v>
      </c>
      <c r="S121" s="27">
        <v>1234.4471353697588</v>
      </c>
      <c r="T121" s="27">
        <v>1660.1076139369227</v>
      </c>
      <c r="U121" s="27">
        <v>5914.5639043132087</v>
      </c>
      <c r="V121" s="27">
        <v>10213.739906043302</v>
      </c>
      <c r="W121" s="27">
        <v>9894.3819541514258</v>
      </c>
      <c r="X121" s="27">
        <v>7857.1654254351333</v>
      </c>
      <c r="Y121" s="27">
        <v>6378.6684206910559</v>
      </c>
      <c r="Z121" s="27">
        <v>4749.5257183304675</v>
      </c>
      <c r="AA121" s="28">
        <f t="shared" si="19"/>
        <v>57722.574693637216</v>
      </c>
      <c r="AB121" s="29"/>
      <c r="AC121" s="27">
        <v>166880.68651777733</v>
      </c>
      <c r="AD121" s="27">
        <v>92901.303941394319</v>
      </c>
      <c r="AE121" s="27">
        <v>89509.014138106577</v>
      </c>
      <c r="AF121" s="27">
        <v>64329.687634274436</v>
      </c>
      <c r="AG121" s="28">
        <f t="shared" si="20"/>
        <v>413620.69223155262</v>
      </c>
      <c r="AH121" s="27">
        <v>88839.164540677608</v>
      </c>
      <c r="AI121" s="27">
        <v>63265.434335935781</v>
      </c>
      <c r="AJ121" s="27">
        <v>63418.068497419896</v>
      </c>
      <c r="AK121" s="27">
        <v>37293.676815941144</v>
      </c>
      <c r="AL121" s="27">
        <v>32682.125045891436</v>
      </c>
      <c r="AM121" s="27">
        <v>44449.24233828146</v>
      </c>
      <c r="AN121" s="27">
        <v>158361.95322579818</v>
      </c>
      <c r="AO121" s="27">
        <v>273472.0306397833</v>
      </c>
      <c r="AP121" s="27">
        <v>264921.24822234974</v>
      </c>
      <c r="AQ121" s="27">
        <v>210374.94627164764</v>
      </c>
      <c r="AR121" s="27">
        <v>170788.31278561507</v>
      </c>
      <c r="AS121" s="27">
        <v>127168.15336164889</v>
      </c>
      <c r="AT121" s="28">
        <f t="shared" si="21"/>
        <v>1535034.3560809901</v>
      </c>
      <c r="AU121" s="30">
        <f t="shared" si="26"/>
        <v>25.801626991402443</v>
      </c>
      <c r="AV121" s="30">
        <f t="shared" si="26"/>
        <v>26.024246722703435</v>
      </c>
      <c r="AW121" s="30">
        <f t="shared" si="26"/>
        <v>25.559064436680316</v>
      </c>
      <c r="AX121" s="30">
        <f t="shared" si="26"/>
        <v>25.629909888204242</v>
      </c>
      <c r="AY121" s="31">
        <f t="shared" si="26"/>
        <v>25.771360967774207</v>
      </c>
      <c r="AZ121" s="30">
        <f t="shared" si="26"/>
        <v>25.74511178413605</v>
      </c>
      <c r="BA121" s="30">
        <f t="shared" si="26"/>
        <v>25.745111784136057</v>
      </c>
      <c r="BB121" s="30">
        <f t="shared" si="26"/>
        <v>25.745111784136039</v>
      </c>
      <c r="BC121" s="30">
        <f t="shared" si="26"/>
        <v>25.745111784136036</v>
      </c>
      <c r="BD121" s="30">
        <f t="shared" si="26"/>
        <v>26.475111091818469</v>
      </c>
      <c r="BE121" s="30">
        <f t="shared" si="26"/>
        <v>26.774916255501463</v>
      </c>
      <c r="BF121" s="30">
        <f t="shared" si="25"/>
        <v>26.774916255501505</v>
      </c>
      <c r="BG121" s="30">
        <f t="shared" si="25"/>
        <v>26.774916255501513</v>
      </c>
      <c r="BH121" s="30">
        <f t="shared" si="25"/>
        <v>26.774916255501502</v>
      </c>
      <c r="BI121" s="30">
        <f t="shared" si="25"/>
        <v>26.774916255501516</v>
      </c>
      <c r="BJ121" s="30">
        <f t="shared" si="25"/>
        <v>26.774916255501505</v>
      </c>
      <c r="BK121" s="30">
        <f t="shared" si="24"/>
        <v>26.774916255501502</v>
      </c>
      <c r="BL121" s="31">
        <f t="shared" si="24"/>
        <v>26.593310576116721</v>
      </c>
    </row>
    <row r="122" spans="2:64" ht="15" x14ac:dyDescent="0.4">
      <c r="B122" t="s">
        <v>204</v>
      </c>
      <c r="C122" s="26">
        <v>53611</v>
      </c>
      <c r="D122" t="s">
        <v>147</v>
      </c>
      <c r="E122" t="s">
        <v>148</v>
      </c>
      <c r="F122" t="s">
        <v>32</v>
      </c>
      <c r="G122" t="s">
        <v>33</v>
      </c>
      <c r="H122" t="s">
        <v>34</v>
      </c>
      <c r="J122" s="27">
        <v>23556.21403600819</v>
      </c>
      <c r="K122" s="27">
        <v>12959.075354318478</v>
      </c>
      <c r="L122" s="27">
        <v>14281.383475770133</v>
      </c>
      <c r="M122" s="27">
        <v>9940.0486043294695</v>
      </c>
      <c r="N122" s="28">
        <f t="shared" si="18"/>
        <v>60736.721470426273</v>
      </c>
      <c r="O122" s="27">
        <v>9323.6775210865962</v>
      </c>
      <c r="P122" s="27">
        <v>6639.712462735466</v>
      </c>
      <c r="Q122" s="27">
        <v>6655.7314303578924</v>
      </c>
      <c r="R122" s="27">
        <v>3913.9744053789218</v>
      </c>
      <c r="S122" s="27">
        <v>3335.4163742637402</v>
      </c>
      <c r="T122" s="27">
        <v>4485.5303721909049</v>
      </c>
      <c r="U122" s="27">
        <v>15980.865221228345</v>
      </c>
      <c r="V122" s="27">
        <v>27597.030564523582</v>
      </c>
      <c r="W122" s="27">
        <v>26734.140845335689</v>
      </c>
      <c r="X122" s="27">
        <v>21229.680449171596</v>
      </c>
      <c r="Y122" s="27">
        <v>17234.853147436919</v>
      </c>
      <c r="Z122" s="27">
        <v>12832.988466663726</v>
      </c>
      <c r="AA122" s="28">
        <f t="shared" si="19"/>
        <v>155963.60126037337</v>
      </c>
      <c r="AB122" s="29"/>
      <c r="AC122" s="27">
        <v>848748.41516318975</v>
      </c>
      <c r="AD122" s="27">
        <v>460675.52691185777</v>
      </c>
      <c r="AE122" s="27">
        <v>513689.42909738538</v>
      </c>
      <c r="AF122" s="27">
        <v>356730.50850005081</v>
      </c>
      <c r="AG122" s="28">
        <f t="shared" si="20"/>
        <v>2179843.879672484</v>
      </c>
      <c r="AH122" s="27">
        <v>327984.63004251575</v>
      </c>
      <c r="AI122" s="27">
        <v>233569.17168722281</v>
      </c>
      <c r="AJ122" s="27">
        <v>234132.68057708099</v>
      </c>
      <c r="AK122" s="27">
        <v>137684.23934019491</v>
      </c>
      <c r="AL122" s="27">
        <v>120267.16600088128</v>
      </c>
      <c r="AM122" s="27">
        <v>164101.81679855997</v>
      </c>
      <c r="AN122" s="27">
        <v>584655.28024851251</v>
      </c>
      <c r="AO122" s="27">
        <v>1009629.291991998</v>
      </c>
      <c r="AP122" s="27">
        <v>978060.72398197325</v>
      </c>
      <c r="AQ122" s="27">
        <v>776681.65025940689</v>
      </c>
      <c r="AR122" s="27">
        <v>630532.06177920289</v>
      </c>
      <c r="AS122" s="27">
        <v>469491.12983173708</v>
      </c>
      <c r="AT122" s="28">
        <f t="shared" si="21"/>
        <v>5666789.8425392862</v>
      </c>
      <c r="AU122" s="30">
        <f t="shared" si="26"/>
        <v>36.030765124896007</v>
      </c>
      <c r="AV122" s="30">
        <f t="shared" si="26"/>
        <v>35.548487397161587</v>
      </c>
      <c r="AW122" s="30">
        <f t="shared" si="26"/>
        <v>35.969164329836353</v>
      </c>
      <c r="AX122" s="30">
        <f t="shared" si="26"/>
        <v>35.888205651698115</v>
      </c>
      <c r="AY122" s="31">
        <f t="shared" si="26"/>
        <v>35.890048506057191</v>
      </c>
      <c r="AZ122" s="30">
        <f t="shared" si="26"/>
        <v>35.177603397451257</v>
      </c>
      <c r="BA122" s="30">
        <f t="shared" si="26"/>
        <v>35.177603397451293</v>
      </c>
      <c r="BB122" s="30">
        <f t="shared" si="26"/>
        <v>35.177603397451271</v>
      </c>
      <c r="BC122" s="30">
        <f t="shared" si="26"/>
        <v>35.177603397451279</v>
      </c>
      <c r="BD122" s="30">
        <f t="shared" si="26"/>
        <v>36.057616952674778</v>
      </c>
      <c r="BE122" s="30">
        <f t="shared" si="26"/>
        <v>36.584707533349366</v>
      </c>
      <c r="BF122" s="30">
        <f t="shared" si="25"/>
        <v>36.584707533349302</v>
      </c>
      <c r="BG122" s="30">
        <f t="shared" si="25"/>
        <v>36.584707533349345</v>
      </c>
      <c r="BH122" s="30">
        <f t="shared" si="25"/>
        <v>36.584707533349281</v>
      </c>
      <c r="BI122" s="30">
        <f t="shared" si="25"/>
        <v>36.584707533349324</v>
      </c>
      <c r="BJ122" s="30">
        <f t="shared" si="25"/>
        <v>36.584707533349217</v>
      </c>
      <c r="BK122" s="30">
        <f t="shared" si="24"/>
        <v>36.584707533349295</v>
      </c>
      <c r="BL122" s="31">
        <f t="shared" si="24"/>
        <v>36.33405356599112</v>
      </c>
    </row>
    <row r="123" spans="2:64" ht="15" x14ac:dyDescent="0.4">
      <c r="B123" t="s">
        <v>205</v>
      </c>
      <c r="C123" s="26">
        <v>53772</v>
      </c>
      <c r="D123" t="s">
        <v>147</v>
      </c>
      <c r="E123" t="s">
        <v>151</v>
      </c>
      <c r="F123" t="s">
        <v>32</v>
      </c>
      <c r="G123" t="s">
        <v>33</v>
      </c>
      <c r="H123" t="s">
        <v>34</v>
      </c>
      <c r="J123" s="27">
        <v>3253.7539370484128</v>
      </c>
      <c r="K123" s="27">
        <v>3217.6971332383523</v>
      </c>
      <c r="L123" s="27">
        <v>3077.4954973332597</v>
      </c>
      <c r="M123" s="27">
        <v>2304.3159955711108</v>
      </c>
      <c r="N123" s="28">
        <f t="shared" si="18"/>
        <v>11853.262563191134</v>
      </c>
      <c r="O123" s="27">
        <v>2050.8501679635656</v>
      </c>
      <c r="P123" s="27">
        <v>1460.4811662173261</v>
      </c>
      <c r="Q123" s="27">
        <v>1464.0047224927055</v>
      </c>
      <c r="R123" s="27">
        <v>860.92371261473932</v>
      </c>
      <c r="S123" s="27">
        <v>733.66321560529639</v>
      </c>
      <c r="T123" s="27">
        <v>986.64402500069696</v>
      </c>
      <c r="U123" s="27">
        <v>3515.1752137540329</v>
      </c>
      <c r="V123" s="27">
        <v>6070.2844602408431</v>
      </c>
      <c r="W123" s="27">
        <v>5880.4819363409961</v>
      </c>
      <c r="X123" s="27">
        <v>4669.7125266857456</v>
      </c>
      <c r="Y123" s="27">
        <v>3791.0042890596515</v>
      </c>
      <c r="Z123" s="27">
        <v>2822.7634957139317</v>
      </c>
      <c r="AA123" s="28">
        <f t="shared" si="19"/>
        <v>34305.988931689528</v>
      </c>
      <c r="AB123" s="29"/>
      <c r="AC123" s="27">
        <v>74348.1013531356</v>
      </c>
      <c r="AD123" s="27">
        <v>76944.513129306491</v>
      </c>
      <c r="AE123" s="27">
        <v>75747.58651344516</v>
      </c>
      <c r="AF123" s="27">
        <v>56744.123227349955</v>
      </c>
      <c r="AG123" s="28">
        <f t="shared" si="20"/>
        <v>283784.32422323723</v>
      </c>
      <c r="AH123" s="27">
        <v>50226.652577416593</v>
      </c>
      <c r="AI123" s="27">
        <v>35768.132298176271</v>
      </c>
      <c r="AJ123" s="27">
        <v>35854.426479801579</v>
      </c>
      <c r="AK123" s="27">
        <v>21084.580865357657</v>
      </c>
      <c r="AL123" s="27">
        <v>18567.926918895224</v>
      </c>
      <c r="AM123" s="27">
        <v>25130.095085845045</v>
      </c>
      <c r="AN123" s="27">
        <v>89532.480942133276</v>
      </c>
      <c r="AO123" s="27">
        <v>154611.81724976472</v>
      </c>
      <c r="AP123" s="27">
        <v>149777.49468531876</v>
      </c>
      <c r="AQ123" s="27">
        <v>118938.86431744389</v>
      </c>
      <c r="AR123" s="27">
        <v>96557.923466721666</v>
      </c>
      <c r="AS123" s="27">
        <v>71896.563760261313</v>
      </c>
      <c r="AT123" s="28">
        <f t="shared" si="21"/>
        <v>867946.95864713599</v>
      </c>
      <c r="AU123" s="30">
        <f t="shared" si="26"/>
        <v>22.849945875310784</v>
      </c>
      <c r="AV123" s="30">
        <f t="shared" si="26"/>
        <v>23.912913472955751</v>
      </c>
      <c r="AW123" s="30">
        <f t="shared" si="26"/>
        <v>24.613386625287568</v>
      </c>
      <c r="AX123" s="30">
        <f t="shared" si="26"/>
        <v>24.62514834615218</v>
      </c>
      <c r="AY123" s="31">
        <f t="shared" si="26"/>
        <v>23.941452634694429</v>
      </c>
      <c r="AZ123" s="30">
        <f t="shared" si="26"/>
        <v>24.490649469185843</v>
      </c>
      <c r="BA123" s="30">
        <f t="shared" si="26"/>
        <v>24.49064946918584</v>
      </c>
      <c r="BB123" s="30">
        <f t="shared" si="26"/>
        <v>24.490649469185868</v>
      </c>
      <c r="BC123" s="30">
        <f t="shared" si="26"/>
        <v>24.490649469185826</v>
      </c>
      <c r="BD123" s="30">
        <f t="shared" si="26"/>
        <v>25.308515574923668</v>
      </c>
      <c r="BE123" s="30">
        <f t="shared" si="26"/>
        <v>25.47027544795327</v>
      </c>
      <c r="BF123" s="30">
        <f t="shared" si="25"/>
        <v>25.470275447953281</v>
      </c>
      <c r="BG123" s="30">
        <f t="shared" si="25"/>
        <v>25.470275447953288</v>
      </c>
      <c r="BH123" s="30">
        <f t="shared" si="25"/>
        <v>25.470275447953266</v>
      </c>
      <c r="BI123" s="30">
        <f t="shared" si="25"/>
        <v>25.470275447953295</v>
      </c>
      <c r="BJ123" s="30">
        <f t="shared" si="25"/>
        <v>25.470275447953291</v>
      </c>
      <c r="BK123" s="30">
        <f t="shared" si="24"/>
        <v>25.470275447953274</v>
      </c>
      <c r="BL123" s="31">
        <f t="shared" si="24"/>
        <v>25.300158534283963</v>
      </c>
    </row>
    <row r="124" spans="2:64" ht="15" x14ac:dyDescent="0.4">
      <c r="B124" t="s">
        <v>206</v>
      </c>
      <c r="C124" s="26">
        <v>53774</v>
      </c>
      <c r="D124" t="s">
        <v>147</v>
      </c>
      <c r="E124" t="s">
        <v>151</v>
      </c>
      <c r="F124" t="s">
        <v>32</v>
      </c>
      <c r="G124" t="s">
        <v>33</v>
      </c>
      <c r="H124" t="s">
        <v>34</v>
      </c>
      <c r="J124" s="27">
        <v>6311.1573433601152</v>
      </c>
      <c r="K124" s="27">
        <v>4960.6649109245172</v>
      </c>
      <c r="L124" s="27">
        <v>4814.734288311518</v>
      </c>
      <c r="M124" s="27">
        <v>3694.8024823981405</v>
      </c>
      <c r="N124" s="28">
        <f t="shared" si="18"/>
        <v>19781.35902499429</v>
      </c>
      <c r="O124" s="27">
        <v>3791.6927610200701</v>
      </c>
      <c r="P124" s="27">
        <v>2700.1952419816025</v>
      </c>
      <c r="Q124" s="27">
        <v>2706.7097319385475</v>
      </c>
      <c r="R124" s="27">
        <v>1591.7097503779346</v>
      </c>
      <c r="S124" s="27">
        <v>1356.4255190809886</v>
      </c>
      <c r="T124" s="27">
        <v>1824.1464275342967</v>
      </c>
      <c r="U124" s="27">
        <v>6498.9947193183434</v>
      </c>
      <c r="V124" s="27">
        <v>11222.981573579658</v>
      </c>
      <c r="W124" s="27">
        <v>10872.06717371931</v>
      </c>
      <c r="X124" s="27">
        <v>8633.5488862459206</v>
      </c>
      <c r="Y124" s="27">
        <v>7008.9584038685816</v>
      </c>
      <c r="Z124" s="27">
        <v>5218.8365976038358</v>
      </c>
      <c r="AA124" s="28">
        <f t="shared" si="19"/>
        <v>63426.26678626908</v>
      </c>
      <c r="AB124" s="29"/>
      <c r="AC124" s="27">
        <v>140121.97011359202</v>
      </c>
      <c r="AD124" s="27">
        <v>110154.95246294975</v>
      </c>
      <c r="AE124" s="27">
        <v>110998.76913170109</v>
      </c>
      <c r="AF124" s="27">
        <v>85699.342938585381</v>
      </c>
      <c r="AG124" s="28">
        <f t="shared" si="20"/>
        <v>446975.03464682825</v>
      </c>
      <c r="AH124" s="27">
        <v>89792.238948024911</v>
      </c>
      <c r="AI124" s="27">
        <v>63944.151505857793</v>
      </c>
      <c r="AJ124" s="27">
        <v>64098.423140113795</v>
      </c>
      <c r="AK124" s="27">
        <v>37693.766676228828</v>
      </c>
      <c r="AL124" s="27">
        <v>33222.875615986675</v>
      </c>
      <c r="AM124" s="27">
        <v>44926.097737784912</v>
      </c>
      <c r="AN124" s="27">
        <v>160060.87425344845</v>
      </c>
      <c r="AO124" s="27">
        <v>276405.86274947983</v>
      </c>
      <c r="AP124" s="27">
        <v>267763.34678269358</v>
      </c>
      <c r="AQ124" s="27">
        <v>212631.86728475284</v>
      </c>
      <c r="AR124" s="27">
        <v>172620.5448966618</v>
      </c>
      <c r="AS124" s="27">
        <v>128532.42454795781</v>
      </c>
      <c r="AT124" s="28">
        <f t="shared" si="21"/>
        <v>1551692.4741389912</v>
      </c>
      <c r="AU124" s="30">
        <f t="shared" si="26"/>
        <v>22.202262198551029</v>
      </c>
      <c r="AV124" s="30">
        <f t="shared" si="26"/>
        <v>22.205682996318373</v>
      </c>
      <c r="AW124" s="30">
        <f t="shared" si="26"/>
        <v>23.053976083616302</v>
      </c>
      <c r="AX124" s="30">
        <f t="shared" si="26"/>
        <v>23.194566785870933</v>
      </c>
      <c r="AY124" s="31">
        <f t="shared" si="26"/>
        <v>22.595769789227475</v>
      </c>
      <c r="AZ124" s="30">
        <f t="shared" si="26"/>
        <v>23.681306637267816</v>
      </c>
      <c r="BA124" s="30">
        <f t="shared" si="26"/>
        <v>23.681306637267777</v>
      </c>
      <c r="BB124" s="30">
        <f t="shared" si="26"/>
        <v>23.681306637267845</v>
      </c>
      <c r="BC124" s="30">
        <f t="shared" si="26"/>
        <v>23.681306637267781</v>
      </c>
      <c r="BD124" s="30">
        <f t="shared" si="26"/>
        <v>24.492959730288757</v>
      </c>
      <c r="BE124" s="30">
        <f t="shared" si="26"/>
        <v>24.628558902758499</v>
      </c>
      <c r="BF124" s="30">
        <f t="shared" si="25"/>
        <v>24.628558902758527</v>
      </c>
      <c r="BG124" s="30">
        <f t="shared" si="25"/>
        <v>24.628558902758495</v>
      </c>
      <c r="BH124" s="30">
        <f t="shared" si="25"/>
        <v>24.628558902758538</v>
      </c>
      <c r="BI124" s="30">
        <f t="shared" si="25"/>
        <v>24.628558902758517</v>
      </c>
      <c r="BJ124" s="30">
        <f t="shared" si="25"/>
        <v>24.628558902758535</v>
      </c>
      <c r="BK124" s="30">
        <f t="shared" si="24"/>
        <v>24.628558902758495</v>
      </c>
      <c r="BL124" s="31">
        <f t="shared" si="24"/>
        <v>24.464508992273078</v>
      </c>
    </row>
    <row r="125" spans="2:64" ht="15" x14ac:dyDescent="0.4">
      <c r="B125" t="s">
        <v>207</v>
      </c>
      <c r="C125" s="26">
        <v>53412</v>
      </c>
      <c r="D125" t="s">
        <v>147</v>
      </c>
      <c r="E125" t="s">
        <v>148</v>
      </c>
      <c r="F125" t="s">
        <v>32</v>
      </c>
      <c r="G125" t="s">
        <v>33</v>
      </c>
      <c r="H125" t="s">
        <v>34</v>
      </c>
      <c r="J125" s="27">
        <v>5516.634354305309</v>
      </c>
      <c r="K125" s="27">
        <v>2361.1362245592213</v>
      </c>
      <c r="L125" s="27">
        <v>1954.7398205116317</v>
      </c>
      <c r="M125" s="27">
        <v>1352.4080136077191</v>
      </c>
      <c r="N125" s="28">
        <f t="shared" si="18"/>
        <v>11184.918412983881</v>
      </c>
      <c r="O125" s="27">
        <v>1722.1334428583275</v>
      </c>
      <c r="P125" s="27">
        <v>1226.3906443760604</v>
      </c>
      <c r="Q125" s="27">
        <v>1229.3494339524116</v>
      </c>
      <c r="R125" s="27">
        <v>722.93214804463219</v>
      </c>
      <c r="S125" s="27">
        <v>616.0693643668011</v>
      </c>
      <c r="T125" s="27">
        <v>828.50161274201673</v>
      </c>
      <c r="U125" s="27">
        <v>2951.7518576813181</v>
      </c>
      <c r="V125" s="27">
        <v>5097.3201455396083</v>
      </c>
      <c r="W125" s="27">
        <v>4937.9397680489319</v>
      </c>
      <c r="X125" s="27">
        <v>3921.2362933004197</v>
      </c>
      <c r="Y125" s="27">
        <v>3183.3701799345577</v>
      </c>
      <c r="Z125" s="27">
        <v>2370.3220709076231</v>
      </c>
      <c r="AA125" s="28">
        <f t="shared" si="19"/>
        <v>28807.316961752709</v>
      </c>
      <c r="AB125" s="29"/>
      <c r="AC125" s="27">
        <v>177184.22450086277</v>
      </c>
      <c r="AD125" s="27">
        <v>80022.892059368853</v>
      </c>
      <c r="AE125" s="27">
        <v>66075.11361913936</v>
      </c>
      <c r="AF125" s="27">
        <v>45638.995150711162</v>
      </c>
      <c r="AG125" s="28">
        <f t="shared" si="20"/>
        <v>368921.22533008212</v>
      </c>
      <c r="AH125" s="27">
        <v>52336.185111074388</v>
      </c>
      <c r="AI125" s="27">
        <v>37270.403201754387</v>
      </c>
      <c r="AJ125" s="27">
        <v>37360.321761558647</v>
      </c>
      <c r="AK125" s="27">
        <v>21970.138771599839</v>
      </c>
      <c r="AL125" s="27">
        <v>19276.709593687086</v>
      </c>
      <c r="AM125" s="27">
        <v>26185.565646535793</v>
      </c>
      <c r="AN125" s="27">
        <v>93292.868538647148</v>
      </c>
      <c r="AO125" s="27">
        <v>161105.5539779613</v>
      </c>
      <c r="AP125" s="27">
        <v>156068.18860248625</v>
      </c>
      <c r="AQ125" s="27">
        <v>123934.3277003007</v>
      </c>
      <c r="AR125" s="27">
        <v>100613.38148518174</v>
      </c>
      <c r="AS125" s="27">
        <v>74916.238226456408</v>
      </c>
      <c r="AT125" s="28">
        <f t="shared" si="21"/>
        <v>904329.8826172438</v>
      </c>
      <c r="AU125" s="30">
        <f t="shared" si="26"/>
        <v>32.118174437750092</v>
      </c>
      <c r="AV125" s="30">
        <f t="shared" si="26"/>
        <v>33.891687920000287</v>
      </c>
      <c r="AW125" s="30">
        <f t="shared" si="26"/>
        <v>33.802510659369965</v>
      </c>
      <c r="AX125" s="30">
        <f t="shared" si="26"/>
        <v>33.746469032643027</v>
      </c>
      <c r="AY125" s="31">
        <f t="shared" si="26"/>
        <v>32.983810136855737</v>
      </c>
      <c r="AZ125" s="30">
        <f t="shared" si="26"/>
        <v>30.390319245069012</v>
      </c>
      <c r="BA125" s="30">
        <f t="shared" si="26"/>
        <v>30.390319245069019</v>
      </c>
      <c r="BB125" s="30">
        <f t="shared" si="26"/>
        <v>30.390319245068994</v>
      </c>
      <c r="BC125" s="30">
        <f t="shared" si="26"/>
        <v>30.390319245068977</v>
      </c>
      <c r="BD125" s="30">
        <f t="shared" si="26"/>
        <v>31.289836353897872</v>
      </c>
      <c r="BE125" s="30">
        <f t="shared" si="26"/>
        <v>31.605932014871762</v>
      </c>
      <c r="BF125" s="30">
        <f t="shared" si="25"/>
        <v>31.605932014871755</v>
      </c>
      <c r="BG125" s="30">
        <f t="shared" si="25"/>
        <v>31.605932014871801</v>
      </c>
      <c r="BH125" s="30">
        <f t="shared" si="25"/>
        <v>31.605932014871776</v>
      </c>
      <c r="BI125" s="30">
        <f t="shared" si="25"/>
        <v>31.605932014871733</v>
      </c>
      <c r="BJ125" s="30">
        <f t="shared" si="25"/>
        <v>31.605932014871769</v>
      </c>
      <c r="BK125" s="30">
        <f t="shared" si="24"/>
        <v>31.605932014871772</v>
      </c>
      <c r="BL125" s="31">
        <f t="shared" si="24"/>
        <v>31.392367564737697</v>
      </c>
    </row>
    <row r="126" spans="2:64" ht="15" x14ac:dyDescent="0.4">
      <c r="B126" t="s">
        <v>208</v>
      </c>
      <c r="C126" s="26">
        <v>53612</v>
      </c>
      <c r="D126" t="s">
        <v>147</v>
      </c>
      <c r="E126" t="s">
        <v>148</v>
      </c>
      <c r="F126" t="s">
        <v>32</v>
      </c>
      <c r="G126" t="s">
        <v>33</v>
      </c>
      <c r="H126" t="s">
        <v>34</v>
      </c>
      <c r="J126" s="27">
        <v>9676.3275444148494</v>
      </c>
      <c r="K126" s="27">
        <v>10363.822321705384</v>
      </c>
      <c r="L126" s="27">
        <v>12677.641984909045</v>
      </c>
      <c r="M126" s="27">
        <v>8865.0166398200254</v>
      </c>
      <c r="N126" s="28">
        <f t="shared" si="18"/>
        <v>41582.808490849304</v>
      </c>
      <c r="O126" s="27">
        <v>5651.5068271933897</v>
      </c>
      <c r="P126" s="27">
        <v>4024.6330086904809</v>
      </c>
      <c r="Q126" s="27">
        <v>4034.3428366717599</v>
      </c>
      <c r="R126" s="27">
        <v>2372.4386674069883</v>
      </c>
      <c r="S126" s="27">
        <v>2021.748217701904</v>
      </c>
      <c r="T126" s="27">
        <v>2718.8848461015737</v>
      </c>
      <c r="U126" s="27">
        <v>9686.7323754998106</v>
      </c>
      <c r="V126" s="27">
        <v>16727.820786694621</v>
      </c>
      <c r="W126" s="27">
        <v>16204.783913306803</v>
      </c>
      <c r="X126" s="27">
        <v>12868.279037566361</v>
      </c>
      <c r="Y126" s="27">
        <v>10446.831736525321</v>
      </c>
      <c r="Z126" s="27">
        <v>7778.6604876261181</v>
      </c>
      <c r="AA126" s="28">
        <f t="shared" si="19"/>
        <v>94536.662740985121</v>
      </c>
      <c r="AB126" s="29"/>
      <c r="AC126" s="27">
        <v>355274.14817662328</v>
      </c>
      <c r="AD126" s="27">
        <v>382201.17374517489</v>
      </c>
      <c r="AE126" s="27">
        <v>465480.2743871322</v>
      </c>
      <c r="AF126" s="27">
        <v>324985.24413035612</v>
      </c>
      <c r="AG126" s="28">
        <f t="shared" si="20"/>
        <v>1527940.8404392865</v>
      </c>
      <c r="AH126" s="27">
        <v>206600.08258208769</v>
      </c>
      <c r="AI126" s="27">
        <v>147127.04724289937</v>
      </c>
      <c r="AJ126" s="27">
        <v>147482.00589802078</v>
      </c>
      <c r="AK126" s="27">
        <v>86728.378748262956</v>
      </c>
      <c r="AL126" s="27">
        <v>75982.448647958488</v>
      </c>
      <c r="AM126" s="27">
        <v>103369.0173166294</v>
      </c>
      <c r="AN126" s="27">
        <v>368278.93174670567</v>
      </c>
      <c r="AO126" s="27">
        <v>635973.3841058414</v>
      </c>
      <c r="AP126" s="27">
        <v>616088.09631957149</v>
      </c>
      <c r="AQ126" s="27">
        <v>489237.84344036283</v>
      </c>
      <c r="AR126" s="27">
        <v>397177.07508840098</v>
      </c>
      <c r="AS126" s="27">
        <v>295736.13306886121</v>
      </c>
      <c r="AT126" s="28">
        <f t="shared" si="21"/>
        <v>3569780.4442056017</v>
      </c>
      <c r="AU126" s="30">
        <f t="shared" si="26"/>
        <v>36.715804270359428</v>
      </c>
      <c r="AV126" s="30">
        <f t="shared" si="26"/>
        <v>36.878398903531476</v>
      </c>
      <c r="AW126" s="30">
        <f t="shared" si="26"/>
        <v>36.716628765918863</v>
      </c>
      <c r="AX126" s="30">
        <f t="shared" si="26"/>
        <v>36.65929318965766</v>
      </c>
      <c r="AY126" s="31">
        <f t="shared" si="26"/>
        <v>36.744532076892419</v>
      </c>
      <c r="AZ126" s="30">
        <f t="shared" si="26"/>
        <v>36.556636822588416</v>
      </c>
      <c r="BA126" s="30">
        <f t="shared" si="26"/>
        <v>36.556636822588445</v>
      </c>
      <c r="BB126" s="30">
        <f t="shared" si="26"/>
        <v>36.556636822588445</v>
      </c>
      <c r="BC126" s="30">
        <f t="shared" si="26"/>
        <v>36.556636822588437</v>
      </c>
      <c r="BD126" s="30">
        <f t="shared" si="26"/>
        <v>37.582547610368017</v>
      </c>
      <c r="BE126" s="30">
        <f t="shared" si="26"/>
        <v>38.018902295491948</v>
      </c>
      <c r="BF126" s="30">
        <f t="shared" si="25"/>
        <v>38.01890229549192</v>
      </c>
      <c r="BG126" s="30">
        <f t="shared" si="25"/>
        <v>38.018902295491905</v>
      </c>
      <c r="BH126" s="30">
        <f t="shared" si="25"/>
        <v>38.018902295491976</v>
      </c>
      <c r="BI126" s="30">
        <f t="shared" si="25"/>
        <v>38.018902295491962</v>
      </c>
      <c r="BJ126" s="30">
        <f t="shared" si="25"/>
        <v>38.018902295491976</v>
      </c>
      <c r="BK126" s="30">
        <f t="shared" si="24"/>
        <v>38.018902295491955</v>
      </c>
      <c r="BL126" s="31">
        <f t="shared" si="24"/>
        <v>37.760804546128433</v>
      </c>
    </row>
    <row r="127" spans="2:64" ht="15" x14ac:dyDescent="0.4">
      <c r="B127" t="s">
        <v>209</v>
      </c>
      <c r="C127" s="26">
        <v>52517</v>
      </c>
      <c r="D127" t="s">
        <v>147</v>
      </c>
      <c r="E127" t="s">
        <v>148</v>
      </c>
      <c r="F127" t="s">
        <v>32</v>
      </c>
      <c r="G127" t="s">
        <v>33</v>
      </c>
      <c r="H127" t="s">
        <v>34</v>
      </c>
      <c r="J127" s="27">
        <v>4124.9484939814174</v>
      </c>
      <c r="K127" s="27">
        <v>3349.4128151889104</v>
      </c>
      <c r="L127" s="27">
        <v>4772.2886628844371</v>
      </c>
      <c r="M127" s="27">
        <v>3226.6023524341977</v>
      </c>
      <c r="N127" s="28">
        <f t="shared" si="18"/>
        <v>15473.252324488963</v>
      </c>
      <c r="O127" s="27">
        <v>2905.6728854218277</v>
      </c>
      <c r="P127" s="27">
        <v>2069.2299177373752</v>
      </c>
      <c r="Q127" s="27">
        <v>2074.222141006323</v>
      </c>
      <c r="R127" s="27">
        <v>1219.7686243677779</v>
      </c>
      <c r="S127" s="27">
        <v>1039.4641919319242</v>
      </c>
      <c r="T127" s="27">
        <v>1397.8909019251714</v>
      </c>
      <c r="U127" s="27">
        <v>4980.3488649071451</v>
      </c>
      <c r="V127" s="27">
        <v>8600.4629877147909</v>
      </c>
      <c r="W127" s="27">
        <v>8331.548146496496</v>
      </c>
      <c r="X127" s="27">
        <v>6616.1132994804339</v>
      </c>
      <c r="Y127" s="27">
        <v>5371.1473140802327</v>
      </c>
      <c r="Z127" s="27">
        <v>3999.3303653181456</v>
      </c>
      <c r="AA127" s="28">
        <f t="shared" si="19"/>
        <v>48605.199640387647</v>
      </c>
      <c r="AB127" s="29"/>
      <c r="AC127" s="27">
        <v>129094.88342587074</v>
      </c>
      <c r="AD127" s="27">
        <v>105034.58094153774</v>
      </c>
      <c r="AE127" s="27">
        <v>152771.40509911254</v>
      </c>
      <c r="AF127" s="27">
        <v>102963.69978313317</v>
      </c>
      <c r="AG127" s="28">
        <f t="shared" si="20"/>
        <v>489864.56924965419</v>
      </c>
      <c r="AH127" s="27">
        <v>89797.467302385601</v>
      </c>
      <c r="AI127" s="27">
        <v>63947.874797394885</v>
      </c>
      <c r="AJ127" s="27">
        <v>64102.155414462388</v>
      </c>
      <c r="AK127" s="27">
        <v>37695.96148027524</v>
      </c>
      <c r="AL127" s="27">
        <v>33099.441903454717</v>
      </c>
      <c r="AM127" s="27">
        <v>44928.713660516834</v>
      </c>
      <c r="AN127" s="27">
        <v>160070.19415659009</v>
      </c>
      <c r="AO127" s="27">
        <v>276421.95710033644</v>
      </c>
      <c r="AP127" s="27">
        <v>267778.93790368777</v>
      </c>
      <c r="AQ127" s="27">
        <v>212644.24825178896</v>
      </c>
      <c r="AR127" s="27">
        <v>172630.59611477604</v>
      </c>
      <c r="AS127" s="27">
        <v>128539.90863645205</v>
      </c>
      <c r="AT127" s="28">
        <f t="shared" si="21"/>
        <v>1551657.4567221212</v>
      </c>
      <c r="AU127" s="30">
        <f t="shared" si="26"/>
        <v>31.296120088342683</v>
      </c>
      <c r="AV127" s="30">
        <f t="shared" si="26"/>
        <v>31.359102844900796</v>
      </c>
      <c r="AW127" s="30">
        <f t="shared" si="26"/>
        <v>32.012188677366261</v>
      </c>
      <c r="AX127" s="30">
        <f t="shared" si="26"/>
        <v>31.910873586717557</v>
      </c>
      <c r="AY127" s="31">
        <f t="shared" si="26"/>
        <v>31.658797968049875</v>
      </c>
      <c r="AZ127" s="30">
        <f t="shared" si="26"/>
        <v>30.904190128528302</v>
      </c>
      <c r="BA127" s="30">
        <f t="shared" si="26"/>
        <v>30.904190128528331</v>
      </c>
      <c r="BB127" s="30">
        <f t="shared" si="26"/>
        <v>30.904190128528274</v>
      </c>
      <c r="BC127" s="30">
        <f t="shared" si="26"/>
        <v>30.904190128528313</v>
      </c>
      <c r="BD127" s="30">
        <f t="shared" si="26"/>
        <v>31.842791854077106</v>
      </c>
      <c r="BE127" s="30">
        <f t="shared" si="26"/>
        <v>32.14035773366944</v>
      </c>
      <c r="BF127" s="30">
        <f t="shared" si="25"/>
        <v>32.140357733669425</v>
      </c>
      <c r="BG127" s="30">
        <f t="shared" si="25"/>
        <v>32.14035773366939</v>
      </c>
      <c r="BH127" s="30">
        <f t="shared" si="25"/>
        <v>32.140357733669418</v>
      </c>
      <c r="BI127" s="30">
        <f t="shared" si="25"/>
        <v>32.140357733669404</v>
      </c>
      <c r="BJ127" s="30">
        <f t="shared" si="25"/>
        <v>32.140357733669362</v>
      </c>
      <c r="BK127" s="30">
        <f t="shared" si="24"/>
        <v>32.140357733669433</v>
      </c>
      <c r="BL127" s="31">
        <f t="shared" si="24"/>
        <v>31.923692695478579</v>
      </c>
    </row>
    <row r="128" spans="2:64" ht="15" x14ac:dyDescent="0.4">
      <c r="B128" t="s">
        <v>210</v>
      </c>
      <c r="C128" s="26">
        <v>53642</v>
      </c>
      <c r="D128" t="s">
        <v>147</v>
      </c>
      <c r="E128" t="s">
        <v>148</v>
      </c>
      <c r="F128" t="s">
        <v>32</v>
      </c>
      <c r="G128" t="s">
        <v>33</v>
      </c>
      <c r="H128" t="s">
        <v>34</v>
      </c>
      <c r="J128" s="27">
        <v>34019.79431881514</v>
      </c>
      <c r="K128" s="27">
        <v>11768.182331030337</v>
      </c>
      <c r="L128" s="27">
        <v>14058.741109444029</v>
      </c>
      <c r="M128" s="27">
        <v>9892.8227380260214</v>
      </c>
      <c r="N128" s="28">
        <f t="shared" si="18"/>
        <v>69739.540497315524</v>
      </c>
      <c r="O128" s="27">
        <v>7626.0335846225789</v>
      </c>
      <c r="P128" s="27">
        <v>5430.7616408376989</v>
      </c>
      <c r="Q128" s="27">
        <v>5443.8638941924846</v>
      </c>
      <c r="R128" s="27">
        <v>3201.3226752285123</v>
      </c>
      <c r="S128" s="27">
        <v>2728.1077912989613</v>
      </c>
      <c r="T128" s="27">
        <v>3668.8104222620063</v>
      </c>
      <c r="U128" s="27">
        <v>13071.088592756407</v>
      </c>
      <c r="V128" s="27">
        <v>22572.196587123683</v>
      </c>
      <c r="W128" s="27">
        <v>21866.420785304075</v>
      </c>
      <c r="X128" s="27">
        <v>17364.205886575979</v>
      </c>
      <c r="Y128" s="27">
        <v>14096.75191265886</v>
      </c>
      <c r="Z128" s="27">
        <v>10496.373433821467</v>
      </c>
      <c r="AA128" s="28">
        <f t="shared" si="19"/>
        <v>127565.93720668271</v>
      </c>
      <c r="AB128" s="29"/>
      <c r="AC128" s="27">
        <v>1211871.8164459404</v>
      </c>
      <c r="AD128" s="27">
        <v>400624.29749543231</v>
      </c>
      <c r="AE128" s="27">
        <v>491249.62428310665</v>
      </c>
      <c r="AF128" s="27">
        <v>344610.46414509817</v>
      </c>
      <c r="AG128" s="28">
        <f t="shared" si="20"/>
        <v>2448356.2023695777</v>
      </c>
      <c r="AH128" s="27">
        <v>261027.96081176627</v>
      </c>
      <c r="AI128" s="27">
        <v>185887.01728524876</v>
      </c>
      <c r="AJ128" s="27">
        <v>186335.4882285363</v>
      </c>
      <c r="AK128" s="27">
        <v>109576.58664136655</v>
      </c>
      <c r="AL128" s="27">
        <v>95893.764742877203</v>
      </c>
      <c r="AM128" s="27">
        <v>130601.12786041691</v>
      </c>
      <c r="AN128" s="27">
        <v>465300.38789109845</v>
      </c>
      <c r="AO128" s="27">
        <v>803517.7600558172</v>
      </c>
      <c r="AP128" s="27">
        <v>778393.78112931922</v>
      </c>
      <c r="AQ128" s="27">
        <v>618125.3900246803</v>
      </c>
      <c r="AR128" s="27">
        <v>501811.61931682384</v>
      </c>
      <c r="AS128" s="27">
        <v>373646.50966511696</v>
      </c>
      <c r="AT128" s="28">
        <f t="shared" si="21"/>
        <v>4510117.3936530678</v>
      </c>
      <c r="AU128" s="30">
        <f t="shared" si="26"/>
        <v>35.622549774667426</v>
      </c>
      <c r="AV128" s="30">
        <f t="shared" si="26"/>
        <v>34.043005642346856</v>
      </c>
      <c r="AW128" s="30">
        <f t="shared" si="26"/>
        <v>34.942646746166147</v>
      </c>
      <c r="AX128" s="30">
        <f t="shared" si="26"/>
        <v>34.834391889029291</v>
      </c>
      <c r="AY128" s="31">
        <f t="shared" si="26"/>
        <v>35.107145600763197</v>
      </c>
      <c r="AZ128" s="30">
        <f t="shared" si="26"/>
        <v>34.228535439197763</v>
      </c>
      <c r="BA128" s="30">
        <f t="shared" si="26"/>
        <v>34.228535439197721</v>
      </c>
      <c r="BB128" s="30">
        <f t="shared" si="26"/>
        <v>34.228535439197707</v>
      </c>
      <c r="BC128" s="30">
        <f t="shared" si="26"/>
        <v>34.228535439197771</v>
      </c>
      <c r="BD128" s="30">
        <f t="shared" si="26"/>
        <v>35.150284401782507</v>
      </c>
      <c r="BE128" s="30">
        <f t="shared" si="26"/>
        <v>35.597676856765666</v>
      </c>
      <c r="BF128" s="30">
        <f t="shared" si="25"/>
        <v>35.597676856765666</v>
      </c>
      <c r="BG128" s="30">
        <f t="shared" si="25"/>
        <v>35.597676856765645</v>
      </c>
      <c r="BH128" s="30">
        <f t="shared" si="25"/>
        <v>35.597676856765695</v>
      </c>
      <c r="BI128" s="30">
        <f t="shared" si="25"/>
        <v>35.597676856765688</v>
      </c>
      <c r="BJ128" s="30">
        <f t="shared" si="25"/>
        <v>35.597676856765695</v>
      </c>
      <c r="BK128" s="30">
        <f t="shared" si="24"/>
        <v>35.597676856765716</v>
      </c>
      <c r="BL128" s="31">
        <f t="shared" si="24"/>
        <v>35.355185658580332</v>
      </c>
    </row>
    <row r="129" spans="2:64" ht="15" x14ac:dyDescent="0.4">
      <c r="B129" t="s">
        <v>211</v>
      </c>
      <c r="C129" s="26">
        <v>53153</v>
      </c>
      <c r="D129" t="s">
        <v>212</v>
      </c>
      <c r="E129" t="s">
        <v>212</v>
      </c>
      <c r="F129" t="s">
        <v>109</v>
      </c>
      <c r="G129" t="s">
        <v>33</v>
      </c>
      <c r="H129" t="s">
        <v>34</v>
      </c>
      <c r="J129" s="27">
        <v>6113.3347074220001</v>
      </c>
      <c r="K129" s="27">
        <v>5008.0331227422112</v>
      </c>
      <c r="L129" s="27">
        <v>14651.652065908973</v>
      </c>
      <c r="M129" s="27">
        <v>10510.460401594755</v>
      </c>
      <c r="N129" s="28">
        <f t="shared" si="18"/>
        <v>36283.480297667935</v>
      </c>
      <c r="O129" s="27">
        <v>7440.7701507639304</v>
      </c>
      <c r="P129" s="27">
        <v>8210.8875259096912</v>
      </c>
      <c r="Q129" s="27">
        <v>11129.35706310844</v>
      </c>
      <c r="R129" s="27">
        <v>5988.0701741447092</v>
      </c>
      <c r="S129" s="27">
        <v>6384.2447449828041</v>
      </c>
      <c r="T129" s="27">
        <v>4833.0513057348635</v>
      </c>
      <c r="U129" s="27">
        <v>4909.5375651314489</v>
      </c>
      <c r="V129" s="27">
        <v>4912.0077614126058</v>
      </c>
      <c r="W129" s="27">
        <v>4446.7575200214023</v>
      </c>
      <c r="X129" s="27">
        <v>3642.7759994939452</v>
      </c>
      <c r="Y129" s="27">
        <v>10657.414835428282</v>
      </c>
      <c r="Z129" s="27">
        <v>7645.1676648648445</v>
      </c>
      <c r="AA129" s="28">
        <f t="shared" si="19"/>
        <v>80200.042310996971</v>
      </c>
      <c r="AB129" s="29"/>
      <c r="AC129" s="27">
        <v>69484.666104491102</v>
      </c>
      <c r="AD129" s="27">
        <v>56921.717201497486</v>
      </c>
      <c r="AE129" s="27">
        <v>166531.88487174807</v>
      </c>
      <c r="AF129" s="27">
        <v>119462.7591259864</v>
      </c>
      <c r="AG129" s="28">
        <f t="shared" si="20"/>
        <v>412401.02730372304</v>
      </c>
      <c r="AH129" s="27">
        <v>87358.64176095085</v>
      </c>
      <c r="AI129" s="27">
        <v>96400.233763673226</v>
      </c>
      <c r="AJ129" s="27">
        <v>130664.63511253327</v>
      </c>
      <c r="AK129" s="27">
        <v>70303.163057500919</v>
      </c>
      <c r="AL129" s="27">
        <v>77694.375884199108</v>
      </c>
      <c r="AM129" s="27">
        <v>59012.325423075461</v>
      </c>
      <c r="AN129" s="27">
        <v>59946.234819929799</v>
      </c>
      <c r="AO129" s="27">
        <v>59976.396309552227</v>
      </c>
      <c r="AP129" s="27">
        <v>54295.616836848589</v>
      </c>
      <c r="AQ129" s="27">
        <v>44478.874550829896</v>
      </c>
      <c r="AR129" s="27">
        <v>130128.73082699023</v>
      </c>
      <c r="AS129" s="27">
        <v>93348.713599964409</v>
      </c>
      <c r="AT129" s="28">
        <f t="shared" si="21"/>
        <v>963607.94194604794</v>
      </c>
      <c r="AU129" s="30">
        <f t="shared" si="26"/>
        <v>11.366082413274713</v>
      </c>
      <c r="AV129" s="30">
        <f t="shared" si="26"/>
        <v>11.366082413274713</v>
      </c>
      <c r="AW129" s="30">
        <f t="shared" si="26"/>
        <v>11.366082413274711</v>
      </c>
      <c r="AX129" s="30">
        <f t="shared" si="26"/>
        <v>11.366082413274711</v>
      </c>
      <c r="AY129" s="31">
        <f t="shared" si="26"/>
        <v>11.366082413274713</v>
      </c>
      <c r="AZ129" s="30">
        <f t="shared" si="26"/>
        <v>11.740537604428205</v>
      </c>
      <c r="BA129" s="30">
        <f t="shared" si="26"/>
        <v>11.740537604428209</v>
      </c>
      <c r="BB129" s="30">
        <f t="shared" si="26"/>
        <v>11.740537604428203</v>
      </c>
      <c r="BC129" s="30">
        <f t="shared" si="26"/>
        <v>11.740537604428207</v>
      </c>
      <c r="BD129" s="30">
        <f t="shared" si="26"/>
        <v>12.169705108072009</v>
      </c>
      <c r="BE129" s="30">
        <f t="shared" si="26"/>
        <v>12.210159108605337</v>
      </c>
      <c r="BF129" s="30">
        <f t="shared" si="25"/>
        <v>12.210159108605332</v>
      </c>
      <c r="BG129" s="30">
        <f t="shared" si="25"/>
        <v>12.210159108605334</v>
      </c>
      <c r="BH129" s="30">
        <f t="shared" si="25"/>
        <v>12.210159108605334</v>
      </c>
      <c r="BI129" s="30">
        <f t="shared" si="25"/>
        <v>12.210159108605335</v>
      </c>
      <c r="BJ129" s="30">
        <f t="shared" si="25"/>
        <v>12.210159108605332</v>
      </c>
      <c r="BK129" s="30">
        <f t="shared" si="24"/>
        <v>12.210159108605328</v>
      </c>
      <c r="BL129" s="31">
        <f t="shared" si="24"/>
        <v>12.01505528150973</v>
      </c>
    </row>
    <row r="130" spans="2:64" ht="15" x14ac:dyDescent="0.4">
      <c r="B130" t="s">
        <v>213</v>
      </c>
      <c r="C130" s="26">
        <v>50970</v>
      </c>
      <c r="D130" t="s">
        <v>212</v>
      </c>
      <c r="E130" t="s">
        <v>212</v>
      </c>
      <c r="F130" t="s">
        <v>109</v>
      </c>
      <c r="G130" t="s">
        <v>33</v>
      </c>
      <c r="H130" t="s">
        <v>34</v>
      </c>
      <c r="J130" s="27">
        <v>1842.7199677227268</v>
      </c>
      <c r="K130" s="27">
        <v>1509.5529814668878</v>
      </c>
      <c r="L130" s="27">
        <v>4416.3935256477871</v>
      </c>
      <c r="M130" s="27">
        <v>3168.12937274052</v>
      </c>
      <c r="N130" s="28">
        <f t="shared" si="18"/>
        <v>10936.795847577921</v>
      </c>
      <c r="O130" s="27">
        <v>2872.2746533424274</v>
      </c>
      <c r="P130" s="27">
        <v>3169.5541784333445</v>
      </c>
      <c r="Q130" s="27">
        <v>4296.13730200791</v>
      </c>
      <c r="R130" s="27">
        <v>2311.5056419080233</v>
      </c>
      <c r="S130" s="27">
        <v>2464.4363406207408</v>
      </c>
      <c r="T130" s="27">
        <v>1865.6470341770403</v>
      </c>
      <c r="U130" s="27">
        <v>1895.1721424309524</v>
      </c>
      <c r="V130" s="27">
        <v>1896.1256838014542</v>
      </c>
      <c r="W130" s="27">
        <v>1716.5305009463302</v>
      </c>
      <c r="X130" s="27">
        <v>1406.1787905216186</v>
      </c>
      <c r="Y130" s="27">
        <v>4113.9588888945118</v>
      </c>
      <c r="Z130" s="27">
        <v>2951.1758674725238</v>
      </c>
      <c r="AA130" s="28">
        <f t="shared" si="19"/>
        <v>30958.697024556877</v>
      </c>
      <c r="AB130" s="29"/>
      <c r="AC130" s="27">
        <v>17865.147784458641</v>
      </c>
      <c r="AD130" s="27">
        <v>14635.097885059655</v>
      </c>
      <c r="AE130" s="27">
        <v>42816.881779128729</v>
      </c>
      <c r="AF130" s="27">
        <v>30714.975924551331</v>
      </c>
      <c r="AG130" s="28">
        <f t="shared" si="20"/>
        <v>106032.10337319835</v>
      </c>
      <c r="AH130" s="27">
        <v>27823.800179615966</v>
      </c>
      <c r="AI130" s="27">
        <v>30703.554765061133</v>
      </c>
      <c r="AJ130" s="27">
        <v>41616.795140451199</v>
      </c>
      <c r="AK130" s="27">
        <v>22391.616003595394</v>
      </c>
      <c r="AL130" s="27">
        <v>24761.728446920752</v>
      </c>
      <c r="AM130" s="27">
        <v>18795.474810599349</v>
      </c>
      <c r="AN130" s="27">
        <v>19092.925731540232</v>
      </c>
      <c r="AO130" s="27">
        <v>19102.532191112608</v>
      </c>
      <c r="AP130" s="27">
        <v>17293.19919638164</v>
      </c>
      <c r="AQ130" s="27">
        <v>14166.558599926506</v>
      </c>
      <c r="AR130" s="27">
        <v>41446.109179042251</v>
      </c>
      <c r="AS130" s="27">
        <v>29731.643050689065</v>
      </c>
      <c r="AT130" s="28">
        <f t="shared" si="21"/>
        <v>306925.9372949361</v>
      </c>
      <c r="AU130" s="30">
        <f t="shared" si="26"/>
        <v>9.6949878969058858</v>
      </c>
      <c r="AV130" s="30">
        <f t="shared" si="26"/>
        <v>9.6949878969058751</v>
      </c>
      <c r="AW130" s="30">
        <f t="shared" si="26"/>
        <v>9.694987896905868</v>
      </c>
      <c r="AX130" s="30">
        <f t="shared" si="26"/>
        <v>9.6949878969058716</v>
      </c>
      <c r="AY130" s="31">
        <f t="shared" si="26"/>
        <v>9.6949878969058716</v>
      </c>
      <c r="AZ130" s="30">
        <f t="shared" si="26"/>
        <v>9.6870263250200619</v>
      </c>
      <c r="BA130" s="30">
        <f t="shared" si="26"/>
        <v>9.6870263250200583</v>
      </c>
      <c r="BB130" s="30">
        <f t="shared" si="26"/>
        <v>9.6870263250200406</v>
      </c>
      <c r="BC130" s="30">
        <f t="shared" si="26"/>
        <v>9.6870263250200512</v>
      </c>
      <c r="BD130" s="30">
        <f t="shared" si="26"/>
        <v>10.047623482408063</v>
      </c>
      <c r="BE130" s="30">
        <f t="shared" si="26"/>
        <v>10.074507378020872</v>
      </c>
      <c r="BF130" s="30">
        <f t="shared" si="25"/>
        <v>10.074507378020861</v>
      </c>
      <c r="BG130" s="30">
        <f t="shared" si="25"/>
        <v>10.074507378020865</v>
      </c>
      <c r="BH130" s="30">
        <f t="shared" si="25"/>
        <v>10.074507378020856</v>
      </c>
      <c r="BI130" s="30">
        <f t="shared" si="25"/>
        <v>10.074507378020867</v>
      </c>
      <c r="BJ130" s="30">
        <f t="shared" si="25"/>
        <v>10.074507378020858</v>
      </c>
      <c r="BK130" s="30">
        <f t="shared" si="24"/>
        <v>10.074507378020863</v>
      </c>
      <c r="BL130" s="31">
        <f t="shared" si="24"/>
        <v>9.9140457058473128</v>
      </c>
    </row>
    <row r="131" spans="2:64" ht="15" x14ac:dyDescent="0.4">
      <c r="B131" t="s">
        <v>214</v>
      </c>
      <c r="C131" s="26">
        <v>53493</v>
      </c>
      <c r="D131" t="s">
        <v>212</v>
      </c>
      <c r="E131" t="s">
        <v>212</v>
      </c>
      <c r="F131" t="s">
        <v>109</v>
      </c>
      <c r="G131" t="s">
        <v>33</v>
      </c>
      <c r="H131" t="s">
        <v>34</v>
      </c>
      <c r="J131" s="27">
        <v>37269.688141017185</v>
      </c>
      <c r="K131" s="27">
        <v>30531.263478488007</v>
      </c>
      <c r="L131" s="27">
        <v>89323.181108366261</v>
      </c>
      <c r="M131" s="27">
        <v>64076.580153605799</v>
      </c>
      <c r="N131" s="28">
        <f t="shared" si="18"/>
        <v>221200.71288147726</v>
      </c>
      <c r="O131" s="27">
        <v>59277.878596289156</v>
      </c>
      <c r="P131" s="27">
        <v>65413.120425267953</v>
      </c>
      <c r="Q131" s="27">
        <v>88663.493626928364</v>
      </c>
      <c r="R131" s="27">
        <v>47704.752279247201</v>
      </c>
      <c r="S131" s="27">
        <v>50860.929346572164</v>
      </c>
      <c r="T131" s="27">
        <v>38503.141845011101</v>
      </c>
      <c r="U131" s="27">
        <v>39112.479737047659</v>
      </c>
      <c r="V131" s="27">
        <v>39132.158882122174</v>
      </c>
      <c r="W131" s="27">
        <v>35425.681357984431</v>
      </c>
      <c r="X131" s="27">
        <v>29020.656340165035</v>
      </c>
      <c r="Y131" s="27">
        <v>84903.703509770217</v>
      </c>
      <c r="Z131" s="27">
        <v>60906.238400551294</v>
      </c>
      <c r="AA131" s="28">
        <f t="shared" si="19"/>
        <v>638924.23434695671</v>
      </c>
      <c r="AB131" s="29"/>
      <c r="AC131" s="27">
        <v>504323.69304654573</v>
      </c>
      <c r="AD131" s="27">
        <v>413141.08914966532</v>
      </c>
      <c r="AE131" s="27">
        <v>1208697.9746326192</v>
      </c>
      <c r="AF131" s="27">
        <v>867067.55952956039</v>
      </c>
      <c r="AG131" s="28">
        <f t="shared" si="20"/>
        <v>2993230.3163583903</v>
      </c>
      <c r="AH131" s="27">
        <v>806711.56472781708</v>
      </c>
      <c r="AI131" s="27">
        <v>890205.95847200963</v>
      </c>
      <c r="AJ131" s="27">
        <v>1206619.861772374</v>
      </c>
      <c r="AK131" s="27">
        <v>649213.10052673705</v>
      </c>
      <c r="AL131" s="27">
        <v>713458.48960911063</v>
      </c>
      <c r="AM131" s="27">
        <v>544948.0946664178</v>
      </c>
      <c r="AN131" s="27">
        <v>553572.26161388424</v>
      </c>
      <c r="AO131" s="27">
        <v>553850.78726397885</v>
      </c>
      <c r="AP131" s="27">
        <v>501391.74709439016</v>
      </c>
      <c r="AQ131" s="27">
        <v>410739.24414277286</v>
      </c>
      <c r="AR131" s="27">
        <v>1201671.0647670617</v>
      </c>
      <c r="AS131" s="27">
        <v>862026.75883655366</v>
      </c>
      <c r="AT131" s="28">
        <f t="shared" si="21"/>
        <v>8894408.9334931076</v>
      </c>
      <c r="AU131" s="30">
        <f t="shared" si="26"/>
        <v>13.531739013708352</v>
      </c>
      <c r="AV131" s="30">
        <f t="shared" si="26"/>
        <v>13.531739013708359</v>
      </c>
      <c r="AW131" s="30">
        <f t="shared" si="26"/>
        <v>13.531739013708382</v>
      </c>
      <c r="AX131" s="30">
        <f t="shared" si="26"/>
        <v>13.531739013708391</v>
      </c>
      <c r="AY131" s="31">
        <f t="shared" si="26"/>
        <v>13.531739013708373</v>
      </c>
      <c r="AZ131" s="30">
        <f t="shared" si="26"/>
        <v>13.608981694873235</v>
      </c>
      <c r="BA131" s="30">
        <f t="shared" si="26"/>
        <v>13.608981694873227</v>
      </c>
      <c r="BB131" s="30">
        <f t="shared" si="26"/>
        <v>13.608981694873192</v>
      </c>
      <c r="BC131" s="30">
        <f t="shared" si="26"/>
        <v>13.608981694873227</v>
      </c>
      <c r="BD131" s="30">
        <f t="shared" si="26"/>
        <v>14.02763376082893</v>
      </c>
      <c r="BE131" s="30">
        <f t="shared" si="26"/>
        <v>14.153340962668151</v>
      </c>
      <c r="BF131" s="30">
        <f t="shared" si="25"/>
        <v>14.153340962668141</v>
      </c>
      <c r="BG131" s="30">
        <f t="shared" si="25"/>
        <v>14.153340962668171</v>
      </c>
      <c r="BH131" s="30">
        <f t="shared" si="25"/>
        <v>14.153340962668141</v>
      </c>
      <c r="BI131" s="30">
        <f t="shared" si="25"/>
        <v>14.153340962668148</v>
      </c>
      <c r="BJ131" s="30">
        <f t="shared" si="25"/>
        <v>14.153340962668143</v>
      </c>
      <c r="BK131" s="30">
        <f t="shared" si="24"/>
        <v>14.153340962668135</v>
      </c>
      <c r="BL131" s="31">
        <f t="shared" si="24"/>
        <v>13.920913396850672</v>
      </c>
    </row>
    <row r="132" spans="2:64" ht="15" x14ac:dyDescent="0.4">
      <c r="B132" t="s">
        <v>215</v>
      </c>
      <c r="C132" s="26">
        <v>53712</v>
      </c>
      <c r="D132" t="s">
        <v>212</v>
      </c>
      <c r="E132" t="s">
        <v>212</v>
      </c>
      <c r="F132" t="s">
        <v>109</v>
      </c>
      <c r="G132" t="s">
        <v>33</v>
      </c>
      <c r="H132" t="s">
        <v>34</v>
      </c>
      <c r="J132" s="27">
        <v>976.08880403373223</v>
      </c>
      <c r="K132" s="27">
        <v>799.61024470066309</v>
      </c>
      <c r="L132" s="27">
        <v>2339.3637395264286</v>
      </c>
      <c r="M132" s="27">
        <v>1678.1581925787957</v>
      </c>
      <c r="N132" s="28">
        <f t="shared" si="18"/>
        <v>5793.2209808396201</v>
      </c>
      <c r="O132" s="27">
        <v>2123.8561910824842</v>
      </c>
      <c r="P132" s="27">
        <v>2343.6746402379927</v>
      </c>
      <c r="Q132" s="27">
        <v>3176.7079781148277</v>
      </c>
      <c r="R132" s="27">
        <v>1709.2047804605145</v>
      </c>
      <c r="S132" s="27">
        <v>1822.2868671229478</v>
      </c>
      <c r="T132" s="27">
        <v>1379.5219754840061</v>
      </c>
      <c r="U132" s="27">
        <v>1401.3538305555535</v>
      </c>
      <c r="V132" s="27">
        <v>1402.0589110188159</v>
      </c>
      <c r="W132" s="27">
        <v>1269.2602106746187</v>
      </c>
      <c r="X132" s="27">
        <v>1039.7757493500301</v>
      </c>
      <c r="Y132" s="27">
        <v>3041.999150697427</v>
      </c>
      <c r="Z132" s="27">
        <v>2182.1983945062166</v>
      </c>
      <c r="AA132" s="28">
        <f t="shared" si="19"/>
        <v>22891.898679305432</v>
      </c>
      <c r="AB132" s="29"/>
      <c r="AC132" s="27">
        <v>15748.075336587466</v>
      </c>
      <c r="AD132" s="27">
        <v>12900.79583068142</v>
      </c>
      <c r="AE132" s="27">
        <v>37742.955617868167</v>
      </c>
      <c r="AF132" s="27">
        <v>27075.161126967523</v>
      </c>
      <c r="AG132" s="28">
        <f t="shared" si="20"/>
        <v>93466.987912104581</v>
      </c>
      <c r="AH132" s="27">
        <v>34387.949294626596</v>
      </c>
      <c r="AI132" s="27">
        <v>37947.091253164865</v>
      </c>
      <c r="AJ132" s="27">
        <v>51434.966893672194</v>
      </c>
      <c r="AK132" s="27">
        <v>27674.212393190617</v>
      </c>
      <c r="AL132" s="27">
        <v>30542.249478358626</v>
      </c>
      <c r="AM132" s="27">
        <v>23229.674975485017</v>
      </c>
      <c r="AN132" s="27">
        <v>23597.300070580714</v>
      </c>
      <c r="AO132" s="27">
        <v>23609.172871655461</v>
      </c>
      <c r="AP132" s="27">
        <v>21372.984756507718</v>
      </c>
      <c r="AQ132" s="27">
        <v>17508.711810348846</v>
      </c>
      <c r="AR132" s="27">
        <v>51224.012956814309</v>
      </c>
      <c r="AS132" s="27">
        <v>36745.887588067882</v>
      </c>
      <c r="AT132" s="28">
        <f t="shared" si="21"/>
        <v>379274.21434247284</v>
      </c>
      <c r="AU132" s="30">
        <f t="shared" si="26"/>
        <v>16.133855107760496</v>
      </c>
      <c r="AV132" s="30">
        <f t="shared" si="26"/>
        <v>16.133855107760503</v>
      </c>
      <c r="AW132" s="30">
        <f t="shared" si="26"/>
        <v>16.133855107760496</v>
      </c>
      <c r="AX132" s="30">
        <f t="shared" si="26"/>
        <v>16.133855107760496</v>
      </c>
      <c r="AY132" s="31">
        <f t="shared" si="26"/>
        <v>16.133855107760496</v>
      </c>
      <c r="AZ132" s="30">
        <f t="shared" si="26"/>
        <v>16.191279540965432</v>
      </c>
      <c r="BA132" s="30">
        <f t="shared" si="26"/>
        <v>16.191279540965404</v>
      </c>
      <c r="BB132" s="30">
        <f t="shared" si="26"/>
        <v>16.191279540965407</v>
      </c>
      <c r="BC132" s="30">
        <f t="shared" si="26"/>
        <v>16.191279540965418</v>
      </c>
      <c r="BD132" s="30">
        <f t="shared" si="26"/>
        <v>16.760395977928084</v>
      </c>
      <c r="BE132" s="30">
        <f t="shared" si="26"/>
        <v>16.838930722604019</v>
      </c>
      <c r="BF132" s="30">
        <f t="shared" si="25"/>
        <v>16.838930722604001</v>
      </c>
      <c r="BG132" s="30">
        <f t="shared" si="25"/>
        <v>16.838930722604008</v>
      </c>
      <c r="BH132" s="30">
        <f t="shared" si="25"/>
        <v>16.838930722604044</v>
      </c>
      <c r="BI132" s="30">
        <f t="shared" si="25"/>
        <v>16.838930722604029</v>
      </c>
      <c r="BJ132" s="30">
        <f t="shared" si="25"/>
        <v>16.838930722604044</v>
      </c>
      <c r="BK132" s="30">
        <f t="shared" si="24"/>
        <v>16.838930722604012</v>
      </c>
      <c r="BL132" s="31">
        <f t="shared" si="24"/>
        <v>16.568054037620811</v>
      </c>
    </row>
    <row r="133" spans="2:64" ht="15" x14ac:dyDescent="0.4">
      <c r="B133" t="s">
        <v>216</v>
      </c>
      <c r="C133" s="26">
        <v>53491</v>
      </c>
      <c r="D133" t="s">
        <v>212</v>
      </c>
      <c r="E133" t="s">
        <v>212</v>
      </c>
      <c r="F133" t="s">
        <v>109</v>
      </c>
      <c r="G133" t="s">
        <v>33</v>
      </c>
      <c r="H133" t="s">
        <v>34</v>
      </c>
      <c r="J133" s="27">
        <v>11609.703931319065</v>
      </c>
      <c r="K133" s="27">
        <v>9510.6491981681011</v>
      </c>
      <c r="L133" s="27">
        <v>27824.640843464353</v>
      </c>
      <c r="M133" s="27">
        <v>19960.191823984918</v>
      </c>
      <c r="N133" s="28">
        <f t="shared" si="18"/>
        <v>68905.185796936436</v>
      </c>
      <c r="O133" s="27">
        <v>21801.660246945434</v>
      </c>
      <c r="P133" s="27">
        <v>24058.125239547564</v>
      </c>
      <c r="Q133" s="27">
        <v>32609.320882183361</v>
      </c>
      <c r="R133" s="27">
        <v>17545.209545031728</v>
      </c>
      <c r="S133" s="27">
        <v>18706.011883618256</v>
      </c>
      <c r="T133" s="27">
        <v>14160.972639756883</v>
      </c>
      <c r="U133" s="27">
        <v>14385.079473745414</v>
      </c>
      <c r="V133" s="27">
        <v>14392.317216475521</v>
      </c>
      <c r="W133" s="27">
        <v>13029.12127209077</v>
      </c>
      <c r="X133" s="27">
        <v>10673.433406425063</v>
      </c>
      <c r="Y133" s="27">
        <v>31226.517234766161</v>
      </c>
      <c r="Z133" s="27">
        <v>22400.5505590311</v>
      </c>
      <c r="AA133" s="28">
        <f t="shared" si="19"/>
        <v>234988.31959961724</v>
      </c>
      <c r="AB133" s="29"/>
      <c r="AC133" s="27">
        <v>965459.7870601383</v>
      </c>
      <c r="AD133" s="27">
        <v>790902.97254667454</v>
      </c>
      <c r="AE133" s="27">
        <v>2313889.4826841434</v>
      </c>
      <c r="AF133" s="27">
        <v>1659884.0644056376</v>
      </c>
      <c r="AG133" s="28">
        <f t="shared" si="20"/>
        <v>5730136.3066965938</v>
      </c>
      <c r="AH133" s="27">
        <v>1821031.2417589312</v>
      </c>
      <c r="AI133" s="27">
        <v>2009507.4037080852</v>
      </c>
      <c r="AJ133" s="27">
        <v>2723764.6778445533</v>
      </c>
      <c r="AK133" s="27">
        <v>1465501.9096165497</v>
      </c>
      <c r="AL133" s="27">
        <v>1600307.9380940634</v>
      </c>
      <c r="AM133" s="27">
        <v>1230139.1834631423</v>
      </c>
      <c r="AN133" s="27">
        <v>1249606.9562485502</v>
      </c>
      <c r="AO133" s="27">
        <v>1250235.6864324578</v>
      </c>
      <c r="AP133" s="27">
        <v>1131817.2141576267</v>
      </c>
      <c r="AQ133" s="27">
        <v>927182.68648200447</v>
      </c>
      <c r="AR133" s="27">
        <v>2712593.5054580057</v>
      </c>
      <c r="AS133" s="27">
        <v>1945897.0562833056</v>
      </c>
      <c r="AT133" s="28">
        <f t="shared" si="21"/>
        <v>20067585.459547278</v>
      </c>
      <c r="AU133" s="30">
        <f t="shared" si="26"/>
        <v>83.15972506892733</v>
      </c>
      <c r="AV133" s="30">
        <f t="shared" si="26"/>
        <v>83.159725068927443</v>
      </c>
      <c r="AW133" s="30">
        <f t="shared" si="26"/>
        <v>83.159725068927386</v>
      </c>
      <c r="AX133" s="30">
        <f t="shared" si="26"/>
        <v>83.159725068927358</v>
      </c>
      <c r="AY133" s="31">
        <f t="shared" si="26"/>
        <v>83.159725068927386</v>
      </c>
      <c r="AZ133" s="30">
        <f t="shared" si="26"/>
        <v>83.527181927076882</v>
      </c>
      <c r="BA133" s="30">
        <f t="shared" si="26"/>
        <v>83.527181927076697</v>
      </c>
      <c r="BB133" s="30">
        <f t="shared" si="26"/>
        <v>83.527181927076768</v>
      </c>
      <c r="BC133" s="30">
        <f t="shared" si="26"/>
        <v>83.527181927076811</v>
      </c>
      <c r="BD133" s="30">
        <f t="shared" si="26"/>
        <v>85.550460891962189</v>
      </c>
      <c r="BE133" s="30">
        <f t="shared" si="26"/>
        <v>86.868269204159787</v>
      </c>
      <c r="BF133" s="30">
        <f t="shared" si="25"/>
        <v>86.868269204159816</v>
      </c>
      <c r="BG133" s="30">
        <f t="shared" si="25"/>
        <v>86.868269204159688</v>
      </c>
      <c r="BH133" s="30">
        <f t="shared" si="25"/>
        <v>86.868269204159859</v>
      </c>
      <c r="BI133" s="30">
        <f t="shared" si="25"/>
        <v>86.868269204159773</v>
      </c>
      <c r="BJ133" s="30">
        <f t="shared" si="25"/>
        <v>86.868269204159901</v>
      </c>
      <c r="BK133" s="30">
        <f t="shared" si="24"/>
        <v>86.868269204159787</v>
      </c>
      <c r="BL133" s="31">
        <f t="shared" si="24"/>
        <v>85.398225297918017</v>
      </c>
    </row>
    <row r="134" spans="2:64" ht="15" x14ac:dyDescent="0.4">
      <c r="B134" t="s">
        <v>217</v>
      </c>
      <c r="C134" s="26" t="s">
        <v>218</v>
      </c>
      <c r="D134" t="s">
        <v>212</v>
      </c>
      <c r="E134" t="s">
        <v>212</v>
      </c>
      <c r="F134" t="s">
        <v>109</v>
      </c>
      <c r="G134" t="s">
        <v>18</v>
      </c>
      <c r="H134" t="s">
        <v>126</v>
      </c>
      <c r="J134" s="27">
        <v>0</v>
      </c>
      <c r="K134" s="27">
        <v>0</v>
      </c>
      <c r="L134" s="27">
        <v>0</v>
      </c>
      <c r="M134" s="27">
        <v>0</v>
      </c>
      <c r="N134" s="28">
        <f t="shared" ref="N134:N197" si="27">SUM(J134:M134)</f>
        <v>0</v>
      </c>
      <c r="O134" s="27">
        <v>4451.4996247955387</v>
      </c>
      <c r="P134" s="27">
        <v>1948.7737862566</v>
      </c>
      <c r="Q134" s="27">
        <v>0</v>
      </c>
      <c r="R134" s="27">
        <v>0</v>
      </c>
      <c r="S134" s="27">
        <v>0</v>
      </c>
      <c r="T134" s="27">
        <v>0</v>
      </c>
      <c r="U134" s="27">
        <v>3668.402623615164</v>
      </c>
      <c r="V134" s="27">
        <v>1872.9837012301862</v>
      </c>
      <c r="W134" s="27">
        <v>2278.8677126623843</v>
      </c>
      <c r="X134" s="27">
        <v>3049.6637554704052</v>
      </c>
      <c r="Y134" s="27">
        <v>2893.6841755902196</v>
      </c>
      <c r="Z134" s="27">
        <v>3534.5365861633959</v>
      </c>
      <c r="AA134" s="28">
        <f t="shared" ref="AA134:AA197" si="28">SUM(O134:Z134)</f>
        <v>23698.411965783896</v>
      </c>
      <c r="AB134" s="29"/>
      <c r="AC134" s="27">
        <v>0</v>
      </c>
      <c r="AD134" s="27">
        <v>0</v>
      </c>
      <c r="AE134" s="27">
        <v>0</v>
      </c>
      <c r="AF134" s="27">
        <v>0</v>
      </c>
      <c r="AG134" s="28">
        <f t="shared" ref="AG134:AG197" si="29">SUM(AC134:AF134)</f>
        <v>0</v>
      </c>
      <c r="AH134" s="27">
        <v>22227.285256084037</v>
      </c>
      <c r="AI134" s="27">
        <v>10951.041211786609</v>
      </c>
      <c r="AJ134" s="27">
        <v>0</v>
      </c>
      <c r="AK134" s="27">
        <v>0</v>
      </c>
      <c r="AL134" s="27">
        <v>0</v>
      </c>
      <c r="AM134" s="27">
        <v>0</v>
      </c>
      <c r="AN134" s="27">
        <v>20698.781689919811</v>
      </c>
      <c r="AO134" s="27">
        <v>10911.00691481172</v>
      </c>
      <c r="AP134" s="27">
        <v>13296.619667590197</v>
      </c>
      <c r="AQ134" s="27">
        <v>17791.725561999556</v>
      </c>
      <c r="AR134" s="27">
        <v>17010.935679821319</v>
      </c>
      <c r="AS134" s="27">
        <v>20862.49803253682</v>
      </c>
      <c r="AT134" s="28">
        <f t="shared" ref="AT134:AT197" si="30">SUM(AH134:AS134)</f>
        <v>133749.89401455008</v>
      </c>
      <c r="AU134" s="30">
        <f t="shared" si="26"/>
        <v>0</v>
      </c>
      <c r="AV134" s="30">
        <f t="shared" si="26"/>
        <v>0</v>
      </c>
      <c r="AW134" s="30">
        <f t="shared" si="26"/>
        <v>0</v>
      </c>
      <c r="AX134" s="30">
        <f t="shared" si="26"/>
        <v>0</v>
      </c>
      <c r="AY134" s="31">
        <f t="shared" si="26"/>
        <v>0</v>
      </c>
      <c r="AZ134" s="30">
        <f t="shared" si="26"/>
        <v>4.9932128787060055</v>
      </c>
      <c r="BA134" s="30">
        <f t="shared" si="26"/>
        <v>5.6194522365894848</v>
      </c>
      <c r="BB134" s="30">
        <f t="shared" si="26"/>
        <v>0</v>
      </c>
      <c r="BC134" s="30">
        <f t="shared" si="26"/>
        <v>0</v>
      </c>
      <c r="BD134" s="30">
        <f t="shared" si="26"/>
        <v>0</v>
      </c>
      <c r="BE134" s="30">
        <f t="shared" si="26"/>
        <v>0</v>
      </c>
      <c r="BF134" s="30">
        <f t="shared" si="25"/>
        <v>5.6424509012921344</v>
      </c>
      <c r="BG134" s="30">
        <f t="shared" si="25"/>
        <v>5.8254681595175173</v>
      </c>
      <c r="BH134" s="30">
        <f t="shared" si="25"/>
        <v>5.8347483681077108</v>
      </c>
      <c r="BI134" s="30">
        <f t="shared" si="25"/>
        <v>5.8339958069427276</v>
      </c>
      <c r="BJ134" s="30">
        <f t="shared" si="25"/>
        <v>5.8786428122729149</v>
      </c>
      <c r="BK134" s="30">
        <f t="shared" si="24"/>
        <v>5.9024705287270098</v>
      </c>
      <c r="BL134" s="31">
        <f t="shared" si="24"/>
        <v>5.6438336124656825</v>
      </c>
    </row>
    <row r="135" spans="2:64" ht="15" x14ac:dyDescent="0.4">
      <c r="B135" t="s">
        <v>219</v>
      </c>
      <c r="C135" s="26">
        <v>53544</v>
      </c>
      <c r="D135" t="s">
        <v>220</v>
      </c>
      <c r="E135" t="s">
        <v>220</v>
      </c>
      <c r="F135" t="s">
        <v>133</v>
      </c>
      <c r="G135" t="s">
        <v>33</v>
      </c>
      <c r="H135" t="s">
        <v>76</v>
      </c>
      <c r="J135" s="27">
        <v>462.06358790548086</v>
      </c>
      <c r="K135" s="27">
        <v>406.23412192735481</v>
      </c>
      <c r="L135" s="27">
        <v>473.30588104719078</v>
      </c>
      <c r="M135" s="27">
        <v>476.18114783535162</v>
      </c>
      <c r="N135" s="28">
        <f t="shared" si="27"/>
        <v>1817.7847387153779</v>
      </c>
      <c r="O135" s="27">
        <v>2254.0792058170478</v>
      </c>
      <c r="P135" s="27">
        <v>2548.966740634376</v>
      </c>
      <c r="Q135" s="27">
        <v>11901.439541930256</v>
      </c>
      <c r="R135" s="27">
        <v>4032.5119332226054</v>
      </c>
      <c r="S135" s="27">
        <v>5593.3761630899817</v>
      </c>
      <c r="T135" s="27">
        <v>2390.7236066691307</v>
      </c>
      <c r="U135" s="27">
        <v>2493.4994230933994</v>
      </c>
      <c r="V135" s="27">
        <v>3039.7924165485492</v>
      </c>
      <c r="W135" s="27">
        <v>1778.6857140305833</v>
      </c>
      <c r="X135" s="27">
        <v>1563.773576055404</v>
      </c>
      <c r="Y135" s="27">
        <v>1821.9622385772307</v>
      </c>
      <c r="Z135" s="27">
        <v>1833.0304034229198</v>
      </c>
      <c r="AA135" s="28">
        <f t="shared" si="28"/>
        <v>41251.840963091483</v>
      </c>
      <c r="AB135" s="29"/>
      <c r="AC135" s="27">
        <v>10521.916907770348</v>
      </c>
      <c r="AD135" s="27">
        <v>9250.5918836760484</v>
      </c>
      <c r="AE135" s="27">
        <v>10777.921659899974</v>
      </c>
      <c r="AF135" s="27">
        <v>10843.396021058445</v>
      </c>
      <c r="AG135" s="28">
        <f t="shared" si="29"/>
        <v>41393.826472404813</v>
      </c>
      <c r="AH135" s="27">
        <v>51871.686235922891</v>
      </c>
      <c r="AI135" s="27">
        <v>58657.744880825143</v>
      </c>
      <c r="AJ135" s="27">
        <v>273880.23281597102</v>
      </c>
      <c r="AK135" s="27">
        <v>92797.623616299548</v>
      </c>
      <c r="AL135" s="27">
        <v>133865.46785305665</v>
      </c>
      <c r="AM135" s="27">
        <v>57216.844492953132</v>
      </c>
      <c r="AN135" s="27">
        <v>59676.563336896223</v>
      </c>
      <c r="AO135" s="27">
        <v>72750.915038162959</v>
      </c>
      <c r="AP135" s="27">
        <v>42569.029568130216</v>
      </c>
      <c r="AQ135" s="27">
        <v>37425.568256303319</v>
      </c>
      <c r="AR135" s="27">
        <v>43604.760410572053</v>
      </c>
      <c r="AS135" s="27">
        <v>43869.653209150514</v>
      </c>
      <c r="AT135" s="28">
        <f t="shared" si="30"/>
        <v>968186.08971424378</v>
      </c>
      <c r="AU135" s="30">
        <f t="shared" si="26"/>
        <v>22.771577729086712</v>
      </c>
      <c r="AV135" s="30">
        <f t="shared" si="26"/>
        <v>22.771577729086712</v>
      </c>
      <c r="AW135" s="30">
        <f t="shared" si="26"/>
        <v>22.771577729086712</v>
      </c>
      <c r="AX135" s="30">
        <f t="shared" si="26"/>
        <v>22.771577729086722</v>
      </c>
      <c r="AY135" s="31">
        <f t="shared" si="26"/>
        <v>22.771577729086715</v>
      </c>
      <c r="AZ135" s="30">
        <f t="shared" si="26"/>
        <v>23.012361811447832</v>
      </c>
      <c r="BA135" s="30">
        <f t="shared" si="26"/>
        <v>23.012361811447821</v>
      </c>
      <c r="BB135" s="30">
        <f t="shared" si="26"/>
        <v>23.012361811447832</v>
      </c>
      <c r="BC135" s="30">
        <f t="shared" si="26"/>
        <v>23.012361811447832</v>
      </c>
      <c r="BD135" s="30">
        <f t="shared" si="26"/>
        <v>23.932856283905739</v>
      </c>
      <c r="BE135" s="30">
        <f t="shared" si="26"/>
        <v>23.932856283905753</v>
      </c>
      <c r="BF135" s="30">
        <f t="shared" si="25"/>
        <v>23.93285628390575</v>
      </c>
      <c r="BG135" s="30">
        <f t="shared" si="25"/>
        <v>23.932856283905739</v>
      </c>
      <c r="BH135" s="30">
        <f t="shared" si="25"/>
        <v>23.932856283905743</v>
      </c>
      <c r="BI135" s="30">
        <f t="shared" si="25"/>
        <v>23.932856283905735</v>
      </c>
      <c r="BJ135" s="30">
        <f t="shared" si="25"/>
        <v>23.932856283905746</v>
      </c>
      <c r="BK135" s="30">
        <f t="shared" si="24"/>
        <v>23.93285628390575</v>
      </c>
      <c r="BL135" s="31">
        <f t="shared" si="24"/>
        <v>23.470130474431226</v>
      </c>
    </row>
    <row r="136" spans="2:64" ht="15" x14ac:dyDescent="0.4">
      <c r="B136" t="s">
        <v>221</v>
      </c>
      <c r="C136" s="26">
        <v>52732</v>
      </c>
      <c r="D136" t="s">
        <v>222</v>
      </c>
      <c r="E136" t="s">
        <v>222</v>
      </c>
      <c r="F136" t="s">
        <v>109</v>
      </c>
      <c r="G136" t="s">
        <v>33</v>
      </c>
      <c r="H136" t="s">
        <v>34</v>
      </c>
      <c r="J136" s="27">
        <v>13015.743959719817</v>
      </c>
      <c r="K136" s="27">
        <v>6348.2447790845308</v>
      </c>
      <c r="L136" s="27">
        <v>11878.048219256547</v>
      </c>
      <c r="M136" s="27">
        <v>5463.2645433207781</v>
      </c>
      <c r="N136" s="28">
        <f t="shared" si="27"/>
        <v>36705.301501381677</v>
      </c>
      <c r="O136" s="27">
        <v>11645.484657911069</v>
      </c>
      <c r="P136" s="27">
        <v>10731.390509379738</v>
      </c>
      <c r="Q136" s="27">
        <v>16088.804957931541</v>
      </c>
      <c r="R136" s="27">
        <v>14419.821836942727</v>
      </c>
      <c r="S136" s="27">
        <v>9289.9959957984902</v>
      </c>
      <c r="T136" s="27">
        <v>7788.7659798002323</v>
      </c>
      <c r="U136" s="27">
        <v>5980.8790139147823</v>
      </c>
      <c r="V136" s="27">
        <v>5160.8120834673309</v>
      </c>
      <c r="W136" s="27">
        <v>8619.5178213935724</v>
      </c>
      <c r="X136" s="27">
        <v>4204.0477422748672</v>
      </c>
      <c r="Y136" s="27">
        <v>7866.0926817630734</v>
      </c>
      <c r="Z136" s="27">
        <v>3617.980365922534</v>
      </c>
      <c r="AA136" s="28">
        <f t="shared" si="28"/>
        <v>105413.59364649994</v>
      </c>
      <c r="AB136" s="29"/>
      <c r="AC136" s="27">
        <v>348361.20288396371</v>
      </c>
      <c r="AD136" s="27">
        <v>169908.24299307555</v>
      </c>
      <c r="AE136" s="27">
        <v>317911.22953704797</v>
      </c>
      <c r="AF136" s="27">
        <v>146222.09947233039</v>
      </c>
      <c r="AG136" s="28">
        <f t="shared" si="29"/>
        <v>982402.77488641767</v>
      </c>
      <c r="AH136" s="27">
        <v>310503.01340879151</v>
      </c>
      <c r="AI136" s="27">
        <v>286130.56382890139</v>
      </c>
      <c r="AJ136" s="27">
        <v>428975.05499613489</v>
      </c>
      <c r="AK136" s="27">
        <v>384475.0360086562</v>
      </c>
      <c r="AL136" s="27">
        <v>253717.04255020426</v>
      </c>
      <c r="AM136" s="27">
        <v>215978.3636015341</v>
      </c>
      <c r="AN136" s="27">
        <v>165846.6136579446</v>
      </c>
      <c r="AO136" s="27">
        <v>143106.59115102683</v>
      </c>
      <c r="AP136" s="27">
        <v>239014.67304665284</v>
      </c>
      <c r="AQ136" s="27">
        <v>116576.02170023585</v>
      </c>
      <c r="AR136" s="27">
        <v>218122.59217329414</v>
      </c>
      <c r="AS136" s="27">
        <v>100324.68313991764</v>
      </c>
      <c r="AT136" s="28">
        <f t="shared" si="30"/>
        <v>2862770.2492632945</v>
      </c>
      <c r="AU136" s="30">
        <f t="shared" si="26"/>
        <v>26.764601697916518</v>
      </c>
      <c r="AV136" s="30">
        <f t="shared" si="26"/>
        <v>26.764601697916525</v>
      </c>
      <c r="AW136" s="30">
        <f t="shared" si="26"/>
        <v>26.764601697916511</v>
      </c>
      <c r="AX136" s="30">
        <f t="shared" si="26"/>
        <v>26.764601697916515</v>
      </c>
      <c r="AY136" s="31">
        <f t="shared" si="26"/>
        <v>26.764601697916515</v>
      </c>
      <c r="AZ136" s="30">
        <f t="shared" si="26"/>
        <v>26.662953284461118</v>
      </c>
      <c r="BA136" s="30">
        <f t="shared" si="26"/>
        <v>26.662953284461121</v>
      </c>
      <c r="BB136" s="30">
        <f t="shared" si="26"/>
        <v>26.662953284461103</v>
      </c>
      <c r="BC136" s="30">
        <f t="shared" si="26"/>
        <v>26.662953284461118</v>
      </c>
      <c r="BD136" s="30">
        <f t="shared" si="26"/>
        <v>27.310780614431994</v>
      </c>
      <c r="BE136" s="30">
        <f t="shared" si="26"/>
        <v>27.729471415839555</v>
      </c>
      <c r="BF136" s="30">
        <f t="shared" si="25"/>
        <v>27.729471415839551</v>
      </c>
      <c r="BG136" s="30">
        <f t="shared" si="25"/>
        <v>27.729471415839576</v>
      </c>
      <c r="BH136" s="30">
        <f t="shared" si="25"/>
        <v>27.729471415839573</v>
      </c>
      <c r="BI136" s="30">
        <f t="shared" si="25"/>
        <v>27.72947141583958</v>
      </c>
      <c r="BJ136" s="30">
        <f t="shared" si="25"/>
        <v>27.729471415839591</v>
      </c>
      <c r="BK136" s="30">
        <f t="shared" si="24"/>
        <v>27.729471415839555</v>
      </c>
      <c r="BL136" s="31">
        <f t="shared" si="24"/>
        <v>27.157505500319761</v>
      </c>
    </row>
    <row r="137" spans="2:64" ht="15" x14ac:dyDescent="0.4">
      <c r="B137" t="s">
        <v>223</v>
      </c>
      <c r="C137" s="26">
        <v>53191</v>
      </c>
      <c r="D137" t="s">
        <v>224</v>
      </c>
      <c r="E137" t="s">
        <v>224</v>
      </c>
      <c r="F137" t="s">
        <v>109</v>
      </c>
      <c r="G137" t="s">
        <v>33</v>
      </c>
      <c r="H137" t="s">
        <v>34</v>
      </c>
      <c r="J137" s="27">
        <v>6534.9041388540491</v>
      </c>
      <c r="K137" s="27">
        <v>3668.0994643923586</v>
      </c>
      <c r="L137" s="27">
        <v>5621.8182218637658</v>
      </c>
      <c r="M137" s="27">
        <v>2085.7673370854482</v>
      </c>
      <c r="N137" s="28">
        <f t="shared" si="27"/>
        <v>17910.589162195625</v>
      </c>
      <c r="O137" s="27">
        <v>3983.9302386588679</v>
      </c>
      <c r="P137" s="27">
        <v>4051.9387447531462</v>
      </c>
      <c r="Q137" s="27">
        <v>5480.9222071246249</v>
      </c>
      <c r="R137" s="27">
        <v>4636.2485130897803</v>
      </c>
      <c r="S137" s="27">
        <v>2950.522879782508</v>
      </c>
      <c r="T137" s="27">
        <v>2425.3684392320197</v>
      </c>
      <c r="U137" s="27">
        <v>1969.0273391674593</v>
      </c>
      <c r="V137" s="27">
        <v>2115.5071984474416</v>
      </c>
      <c r="W137" s="27">
        <v>3505.053775628156</v>
      </c>
      <c r="X137" s="27">
        <v>1967.4176703841624</v>
      </c>
      <c r="Y137" s="27">
        <v>3015.3120483101925</v>
      </c>
      <c r="Z137" s="27">
        <v>1118.7198043910764</v>
      </c>
      <c r="AA137" s="28">
        <f t="shared" si="28"/>
        <v>37219.968858969441</v>
      </c>
      <c r="AB137" s="29"/>
      <c r="AC137" s="27">
        <v>75141.846171467856</v>
      </c>
      <c r="AD137" s="27">
        <v>42177.782541022541</v>
      </c>
      <c r="AE137" s="27">
        <v>64642.692693778248</v>
      </c>
      <c r="AF137" s="27">
        <v>23983.27581592201</v>
      </c>
      <c r="AG137" s="28">
        <f t="shared" si="29"/>
        <v>205945.59722219067</v>
      </c>
      <c r="AH137" s="27">
        <v>46033.640861156702</v>
      </c>
      <c r="AI137" s="27">
        <v>46819.467659695663</v>
      </c>
      <c r="AJ137" s="27">
        <v>63331.130154439852</v>
      </c>
      <c r="AK137" s="27">
        <v>53571.068319331986</v>
      </c>
      <c r="AL137" s="27">
        <v>35411.152797573239</v>
      </c>
      <c r="AM137" s="27">
        <v>29145.711475656484</v>
      </c>
      <c r="AN137" s="27">
        <v>23661.849386160146</v>
      </c>
      <c r="AO137" s="27">
        <v>25422.101414887362</v>
      </c>
      <c r="AP137" s="27">
        <v>42120.316401687072</v>
      </c>
      <c r="AQ137" s="27">
        <v>23642.505957273032</v>
      </c>
      <c r="AR137" s="27">
        <v>36235.078162783146</v>
      </c>
      <c r="AS137" s="27">
        <v>13443.68307654306</v>
      </c>
      <c r="AT137" s="28">
        <f t="shared" si="30"/>
        <v>438837.70566718769</v>
      </c>
      <c r="AU137" s="30">
        <f t="shared" si="26"/>
        <v>11.498538398551721</v>
      </c>
      <c r="AV137" s="30">
        <f t="shared" si="26"/>
        <v>11.498538398551721</v>
      </c>
      <c r="AW137" s="30">
        <f t="shared" si="26"/>
        <v>11.498538398551718</v>
      </c>
      <c r="AX137" s="30">
        <f t="shared" si="26"/>
        <v>11.498538398551727</v>
      </c>
      <c r="AY137" s="31">
        <f t="shared" si="26"/>
        <v>11.49853839855172</v>
      </c>
      <c r="AZ137" s="30">
        <f t="shared" si="26"/>
        <v>11.554831059655617</v>
      </c>
      <c r="BA137" s="30">
        <f t="shared" si="26"/>
        <v>11.554831059655621</v>
      </c>
      <c r="BB137" s="30">
        <f t="shared" si="26"/>
        <v>11.554831059655621</v>
      </c>
      <c r="BC137" s="30">
        <f t="shared" si="26"/>
        <v>11.554831059655621</v>
      </c>
      <c r="BD137" s="30">
        <f t="shared" si="26"/>
        <v>12.001653347688496</v>
      </c>
      <c r="BE137" s="30">
        <f t="shared" si="26"/>
        <v>12.017024302041847</v>
      </c>
      <c r="BF137" s="30">
        <f t="shared" si="25"/>
        <v>12.017024302041843</v>
      </c>
      <c r="BG137" s="30">
        <f t="shared" si="25"/>
        <v>12.017024302041843</v>
      </c>
      <c r="BH137" s="30">
        <f t="shared" si="25"/>
        <v>12.017024302041845</v>
      </c>
      <c r="BI137" s="30">
        <f t="shared" si="25"/>
        <v>12.017024302041845</v>
      </c>
      <c r="BJ137" s="30">
        <f t="shared" si="25"/>
        <v>12.017024302041841</v>
      </c>
      <c r="BK137" s="30">
        <f t="shared" si="24"/>
        <v>12.017024302041841</v>
      </c>
      <c r="BL137" s="31">
        <f t="shared" si="24"/>
        <v>11.790383472108536</v>
      </c>
    </row>
    <row r="138" spans="2:64" ht="15" x14ac:dyDescent="0.4">
      <c r="B138" t="s">
        <v>225</v>
      </c>
      <c r="C138" s="26">
        <v>53831</v>
      </c>
      <c r="D138" t="s">
        <v>226</v>
      </c>
      <c r="E138" t="s">
        <v>226</v>
      </c>
      <c r="F138" t="s">
        <v>53</v>
      </c>
      <c r="G138" t="s">
        <v>33</v>
      </c>
      <c r="H138" t="s">
        <v>76</v>
      </c>
      <c r="J138" s="27">
        <v>27308.046762864644</v>
      </c>
      <c r="K138" s="27">
        <v>21226.30354364101</v>
      </c>
      <c r="L138" s="27">
        <v>24032.390406743776</v>
      </c>
      <c r="M138" s="27">
        <v>24975.306091115239</v>
      </c>
      <c r="N138" s="28">
        <f t="shared" si="27"/>
        <v>97542.046804364669</v>
      </c>
      <c r="O138" s="27">
        <v>22039.172390029402</v>
      </c>
      <c r="P138" s="27">
        <v>34120.502842876194</v>
      </c>
      <c r="Q138" s="27">
        <v>66679.241587057491</v>
      </c>
      <c r="R138" s="27">
        <v>50459.129885469047</v>
      </c>
      <c r="S138" s="27">
        <v>26884.045486389405</v>
      </c>
      <c r="T138" s="27">
        <v>17856.027678811228</v>
      </c>
      <c r="U138" s="27">
        <v>27277.997288669183</v>
      </c>
      <c r="V138" s="27">
        <v>25930.816172744577</v>
      </c>
      <c r="W138" s="27">
        <v>46155.022927642196</v>
      </c>
      <c r="X138" s="27">
        <v>35875.891645905162</v>
      </c>
      <c r="Y138" s="27">
        <v>40618.633030088939</v>
      </c>
      <c r="Z138" s="27">
        <v>42212.313288838894</v>
      </c>
      <c r="AA138" s="28">
        <f t="shared" si="28"/>
        <v>436108.79422452167</v>
      </c>
      <c r="AB138" s="29"/>
      <c r="AC138" s="27">
        <v>782380.4565867713</v>
      </c>
      <c r="AD138" s="27">
        <v>608137.41833438806</v>
      </c>
      <c r="AE138" s="27">
        <v>688532.31219995685</v>
      </c>
      <c r="AF138" s="27">
        <v>715547.01632975077</v>
      </c>
      <c r="AG138" s="28">
        <f t="shared" si="29"/>
        <v>2794597.203450867</v>
      </c>
      <c r="AH138" s="27">
        <v>629118.77110724349</v>
      </c>
      <c r="AI138" s="27">
        <v>973986.15692949924</v>
      </c>
      <c r="AJ138" s="27">
        <v>1903391.0068506263</v>
      </c>
      <c r="AK138" s="27">
        <v>1440380.120582409</v>
      </c>
      <c r="AL138" s="27">
        <v>798112.82776509319</v>
      </c>
      <c r="AM138" s="27">
        <v>530097.25006924733</v>
      </c>
      <c r="AN138" s="27">
        <v>809810.08823585091</v>
      </c>
      <c r="AO138" s="27">
        <v>769815.91832625354</v>
      </c>
      <c r="AP138" s="27">
        <v>1370218.0110226544</v>
      </c>
      <c r="AQ138" s="27">
        <v>1065058.357175593</v>
      </c>
      <c r="AR138" s="27">
        <v>1205857.5433534239</v>
      </c>
      <c r="AS138" s="27">
        <v>1253169.6072597471</v>
      </c>
      <c r="AT138" s="28">
        <f t="shared" si="30"/>
        <v>12749015.658677641</v>
      </c>
      <c r="AU138" s="30">
        <f t="shared" si="26"/>
        <v>28.650180050618118</v>
      </c>
      <c r="AV138" s="30">
        <f t="shared" si="26"/>
        <v>28.650180050618104</v>
      </c>
      <c r="AW138" s="30">
        <f t="shared" si="26"/>
        <v>28.650180050618122</v>
      </c>
      <c r="AX138" s="30">
        <f t="shared" si="26"/>
        <v>28.650180050618108</v>
      </c>
      <c r="AY138" s="31">
        <f t="shared" si="26"/>
        <v>28.650180050618115</v>
      </c>
      <c r="AZ138" s="30">
        <f t="shared" si="26"/>
        <v>28.545480745541017</v>
      </c>
      <c r="BA138" s="30">
        <f t="shared" si="26"/>
        <v>28.545480745540996</v>
      </c>
      <c r="BB138" s="30">
        <f t="shared" si="26"/>
        <v>28.545480745540999</v>
      </c>
      <c r="BC138" s="30">
        <f t="shared" si="26"/>
        <v>28.545480745540996</v>
      </c>
      <c r="BD138" s="30">
        <f t="shared" si="26"/>
        <v>29.687229482227817</v>
      </c>
      <c r="BE138" s="30">
        <f t="shared" si="26"/>
        <v>29.687299975362649</v>
      </c>
      <c r="BF138" s="30">
        <f t="shared" si="25"/>
        <v>29.687299975362645</v>
      </c>
      <c r="BG138" s="30">
        <f t="shared" si="25"/>
        <v>29.687299975362652</v>
      </c>
      <c r="BH138" s="30">
        <f t="shared" si="25"/>
        <v>29.687299975362642</v>
      </c>
      <c r="BI138" s="30">
        <f t="shared" si="25"/>
        <v>29.687299975362638</v>
      </c>
      <c r="BJ138" s="30">
        <f t="shared" si="25"/>
        <v>29.687299975362652</v>
      </c>
      <c r="BK138" s="30">
        <f t="shared" si="24"/>
        <v>29.687299975362645</v>
      </c>
      <c r="BL138" s="31">
        <f t="shared" si="24"/>
        <v>29.233567007855548</v>
      </c>
    </row>
    <row r="139" spans="2:64" ht="15" x14ac:dyDescent="0.4">
      <c r="B139" t="s">
        <v>227</v>
      </c>
      <c r="C139" s="26">
        <v>50930</v>
      </c>
      <c r="D139" t="s">
        <v>228</v>
      </c>
      <c r="E139" t="s">
        <v>228</v>
      </c>
      <c r="F139" t="s">
        <v>32</v>
      </c>
      <c r="G139" t="s">
        <v>33</v>
      </c>
      <c r="H139" t="s">
        <v>34</v>
      </c>
      <c r="J139" s="27">
        <v>4690.0523222535639</v>
      </c>
      <c r="K139" s="27">
        <v>7035.0784833803409</v>
      </c>
      <c r="L139" s="27">
        <v>7449.0517941185853</v>
      </c>
      <c r="M139" s="27">
        <v>6480.4406199620353</v>
      </c>
      <c r="N139" s="28">
        <f t="shared" si="27"/>
        <v>25654.623219714525</v>
      </c>
      <c r="O139" s="27">
        <v>7007.9190847094333</v>
      </c>
      <c r="P139" s="27">
        <v>5111.4494889339494</v>
      </c>
      <c r="Q139" s="27">
        <v>6223.1431431562487</v>
      </c>
      <c r="R139" s="27">
        <v>6335.4398110359598</v>
      </c>
      <c r="S139" s="27">
        <v>3000.792426237329</v>
      </c>
      <c r="T139" s="27">
        <v>2420.2316606352783</v>
      </c>
      <c r="U139" s="27">
        <v>3884.6842684750727</v>
      </c>
      <c r="V139" s="27">
        <v>2466.7979236865567</v>
      </c>
      <c r="W139" s="27">
        <v>3296.0589545233606</v>
      </c>
      <c r="X139" s="27">
        <v>4944.0884317850414</v>
      </c>
      <c r="Y139" s="27">
        <v>5235.0191813884603</v>
      </c>
      <c r="Z139" s="27">
        <v>4554.3019282180176</v>
      </c>
      <c r="AA139" s="28">
        <f t="shared" si="28"/>
        <v>54479.926302784705</v>
      </c>
      <c r="AB139" s="29"/>
      <c r="AC139" s="27">
        <v>58163.457838812123</v>
      </c>
      <c r="AD139" s="27">
        <v>87245.186758218173</v>
      </c>
      <c r="AE139" s="27">
        <v>92379.056820023339</v>
      </c>
      <c r="AF139" s="27">
        <v>80366.872025635632</v>
      </c>
      <c r="AG139" s="28">
        <f t="shared" si="29"/>
        <v>318154.57344268926</v>
      </c>
      <c r="AH139" s="27">
        <v>87206.624495345401</v>
      </c>
      <c r="AI139" s="27">
        <v>63606.93535702696</v>
      </c>
      <c r="AJ139" s="27">
        <v>77440.863786530477</v>
      </c>
      <c r="AK139" s="27">
        <v>78838.28479403496</v>
      </c>
      <c r="AL139" s="27">
        <v>38755.504073481345</v>
      </c>
      <c r="AM139" s="27">
        <v>31322.085816391686</v>
      </c>
      <c r="AN139" s="27">
        <v>50274.697255561223</v>
      </c>
      <c r="AO139" s="27">
        <v>31924.73576563576</v>
      </c>
      <c r="AP139" s="27">
        <v>42656.842776103484</v>
      </c>
      <c r="AQ139" s="27">
        <v>63985.264164155204</v>
      </c>
      <c r="AR139" s="27">
        <v>67750.423530475309</v>
      </c>
      <c r="AS139" s="27">
        <v>58940.736190501244</v>
      </c>
      <c r="AT139" s="28">
        <f t="shared" si="30"/>
        <v>692702.99800524313</v>
      </c>
      <c r="AU139" s="30">
        <f t="shared" si="26"/>
        <v>12.401451805310492</v>
      </c>
      <c r="AV139" s="30">
        <f t="shared" si="26"/>
        <v>12.401451805310499</v>
      </c>
      <c r="AW139" s="30">
        <f t="shared" si="26"/>
        <v>12.401451805310499</v>
      </c>
      <c r="AX139" s="30">
        <f t="shared" si="26"/>
        <v>12.401451805310494</v>
      </c>
      <c r="AY139" s="31">
        <f t="shared" si="26"/>
        <v>12.401451805310495</v>
      </c>
      <c r="AZ139" s="30">
        <f t="shared" si="26"/>
        <v>12.444011330784539</v>
      </c>
      <c r="BA139" s="30">
        <f t="shared" si="26"/>
        <v>12.44401133078455</v>
      </c>
      <c r="BB139" s="30">
        <f t="shared" si="26"/>
        <v>12.444011330784541</v>
      </c>
      <c r="BC139" s="30">
        <f t="shared" si="26"/>
        <v>12.444011330784543</v>
      </c>
      <c r="BD139" s="30">
        <f t="shared" si="26"/>
        <v>12.915089939118708</v>
      </c>
      <c r="BE139" s="30">
        <f t="shared" si="26"/>
        <v>12.941771784015939</v>
      </c>
      <c r="BF139" s="30">
        <f t="shared" si="25"/>
        <v>12.94177178401592</v>
      </c>
      <c r="BG139" s="30">
        <f t="shared" si="25"/>
        <v>12.941771784015929</v>
      </c>
      <c r="BH139" s="30">
        <f t="shared" si="25"/>
        <v>12.941771784015932</v>
      </c>
      <c r="BI139" s="30">
        <f t="shared" si="25"/>
        <v>12.941771784015927</v>
      </c>
      <c r="BJ139" s="30">
        <f t="shared" si="25"/>
        <v>12.941771784015923</v>
      </c>
      <c r="BK139" s="30">
        <f t="shared" si="24"/>
        <v>12.941771784015922</v>
      </c>
      <c r="BL139" s="31">
        <f t="shared" si="24"/>
        <v>12.714829938560987</v>
      </c>
    </row>
    <row r="140" spans="2:64" ht="15" x14ac:dyDescent="0.4">
      <c r="B140" t="s">
        <v>229</v>
      </c>
      <c r="C140" s="26">
        <v>50922</v>
      </c>
      <c r="D140" t="s">
        <v>228</v>
      </c>
      <c r="E140" t="s">
        <v>228</v>
      </c>
      <c r="F140" t="s">
        <v>32</v>
      </c>
      <c r="G140" t="s">
        <v>33</v>
      </c>
      <c r="H140" t="s">
        <v>34</v>
      </c>
      <c r="J140" s="27">
        <v>1499.0802576284232</v>
      </c>
      <c r="K140" s="27">
        <v>2248.6203864426352</v>
      </c>
      <c r="L140" s="27">
        <v>2380.9385728236762</v>
      </c>
      <c r="M140" s="27">
        <v>2071.3416240632673</v>
      </c>
      <c r="N140" s="28">
        <f t="shared" si="27"/>
        <v>8199.9808409580019</v>
      </c>
      <c r="O140" s="27">
        <v>3240.9810607240684</v>
      </c>
      <c r="P140" s="27">
        <v>2363.9129941765773</v>
      </c>
      <c r="Q140" s="27">
        <v>2878.0425146676071</v>
      </c>
      <c r="R140" s="27">
        <v>2929.9768149044171</v>
      </c>
      <c r="S140" s="27">
        <v>1387.7887719650605</v>
      </c>
      <c r="T140" s="27">
        <v>1119.2944552967733</v>
      </c>
      <c r="U140" s="27">
        <v>1796.5658548328506</v>
      </c>
      <c r="V140" s="27">
        <v>1140.8301458196813</v>
      </c>
      <c r="W140" s="27">
        <v>1524.3418934371325</v>
      </c>
      <c r="X140" s="27">
        <v>2286.5128401556981</v>
      </c>
      <c r="Y140" s="27">
        <v>2421.0607762904406</v>
      </c>
      <c r="Z140" s="27">
        <v>2106.2466783298655</v>
      </c>
      <c r="AA140" s="28">
        <f t="shared" si="28"/>
        <v>25195.554800600174</v>
      </c>
      <c r="AB140" s="29"/>
      <c r="AC140" s="27">
        <v>25611.229831298264</v>
      </c>
      <c r="AD140" s="27">
        <v>38416.844746947405</v>
      </c>
      <c r="AE140" s="27">
        <v>40677.451852551334</v>
      </c>
      <c r="AF140" s="27">
        <v>35388.102887129302</v>
      </c>
      <c r="AG140" s="28">
        <f t="shared" si="29"/>
        <v>140093.6293179263</v>
      </c>
      <c r="AH140" s="27">
        <v>54095.01674495895</v>
      </c>
      <c r="AI140" s="27">
        <v>39455.927266368926</v>
      </c>
      <c r="AJ140" s="27">
        <v>48037.231661225982</v>
      </c>
      <c r="AK140" s="27">
        <v>48904.063891439713</v>
      </c>
      <c r="AL140" s="27">
        <v>24047.567199064477</v>
      </c>
      <c r="AM140" s="27">
        <v>19429.358337510075</v>
      </c>
      <c r="AN140" s="27">
        <v>31185.825682686362</v>
      </c>
      <c r="AO140" s="27">
        <v>19803.187267185549</v>
      </c>
      <c r="AP140" s="27">
        <v>26460.405245745529</v>
      </c>
      <c r="AQ140" s="27">
        <v>39690.607868618288</v>
      </c>
      <c r="AR140" s="27">
        <v>42026.168500017295</v>
      </c>
      <c r="AS140" s="27">
        <v>36561.443922824379</v>
      </c>
      <c r="AT140" s="28">
        <f t="shared" si="30"/>
        <v>429696.80358764558</v>
      </c>
      <c r="AU140" s="30">
        <f t="shared" si="26"/>
        <v>17.08462885890831</v>
      </c>
      <c r="AV140" s="30">
        <f t="shared" si="26"/>
        <v>17.08462885890831</v>
      </c>
      <c r="AW140" s="30">
        <f t="shared" si="26"/>
        <v>17.084628858908307</v>
      </c>
      <c r="AX140" s="30">
        <f t="shared" si="26"/>
        <v>17.08462885890831</v>
      </c>
      <c r="AY140" s="31">
        <f t="shared" si="26"/>
        <v>17.08462885890831</v>
      </c>
      <c r="AZ140" s="30">
        <f t="shared" si="26"/>
        <v>16.690938864318316</v>
      </c>
      <c r="BA140" s="30">
        <f t="shared" si="26"/>
        <v>16.690938864318323</v>
      </c>
      <c r="BB140" s="30">
        <f t="shared" si="26"/>
        <v>16.690938864318316</v>
      </c>
      <c r="BC140" s="30">
        <f t="shared" si="26"/>
        <v>16.690938864318312</v>
      </c>
      <c r="BD140" s="30">
        <f t="shared" si="26"/>
        <v>17.327973597173553</v>
      </c>
      <c r="BE140" s="30">
        <f t="shared" si="26"/>
        <v>17.358576418891055</v>
      </c>
      <c r="BF140" s="30">
        <f t="shared" si="25"/>
        <v>17.358576418891051</v>
      </c>
      <c r="BG140" s="30">
        <f t="shared" si="25"/>
        <v>17.35857641889104</v>
      </c>
      <c r="BH140" s="30">
        <f t="shared" si="25"/>
        <v>17.35857641889104</v>
      </c>
      <c r="BI140" s="30">
        <f t="shared" si="25"/>
        <v>17.358576418891044</v>
      </c>
      <c r="BJ140" s="30">
        <f t="shared" si="25"/>
        <v>17.358576418891047</v>
      </c>
      <c r="BK140" s="30">
        <f t="shared" si="24"/>
        <v>17.358576418891037</v>
      </c>
      <c r="BL140" s="31">
        <f t="shared" si="24"/>
        <v>17.054468813578573</v>
      </c>
    </row>
    <row r="141" spans="2:64" ht="15" x14ac:dyDescent="0.4">
      <c r="B141" t="s">
        <v>230</v>
      </c>
      <c r="C141" s="26">
        <v>60601</v>
      </c>
      <c r="D141" t="s">
        <v>231</v>
      </c>
      <c r="E141" t="s">
        <v>231</v>
      </c>
      <c r="F141" t="s">
        <v>32</v>
      </c>
      <c r="G141" t="s">
        <v>33</v>
      </c>
      <c r="H141" t="s">
        <v>34</v>
      </c>
      <c r="J141" s="27">
        <v>5715.0286409640648</v>
      </c>
      <c r="K141" s="27">
        <v>4422.2038867966285</v>
      </c>
      <c r="L141" s="27">
        <v>5772.5309825261256</v>
      </c>
      <c r="M141" s="27">
        <v>6720.0052790644286</v>
      </c>
      <c r="N141" s="28">
        <f t="shared" si="27"/>
        <v>22629.768789351248</v>
      </c>
      <c r="O141" s="27">
        <v>4148.051902946856</v>
      </c>
      <c r="P141" s="27">
        <v>7687.530079394076</v>
      </c>
      <c r="Q141" s="27">
        <v>3487.8575501272039</v>
      </c>
      <c r="R141" s="27">
        <v>2889.9186285870173</v>
      </c>
      <c r="S141" s="27">
        <v>1223.3610469081614</v>
      </c>
      <c r="T141" s="27">
        <v>1266.2503788642791</v>
      </c>
      <c r="U141" s="27">
        <v>1150.1637157395207</v>
      </c>
      <c r="V141" s="27">
        <v>1066.7665311850565</v>
      </c>
      <c r="W141" s="27">
        <v>1745.780904017214</v>
      </c>
      <c r="X141" s="27">
        <v>1350.8592142309797</v>
      </c>
      <c r="Y141" s="27">
        <v>1763.346256028886</v>
      </c>
      <c r="Z141" s="27">
        <v>2052.7730704612086</v>
      </c>
      <c r="AA141" s="28">
        <f t="shared" si="28"/>
        <v>29832.659278490461</v>
      </c>
      <c r="AB141" s="29"/>
      <c r="AC141" s="27">
        <v>91066.105152007003</v>
      </c>
      <c r="AD141" s="27">
        <v>70465.593343151195</v>
      </c>
      <c r="AE141" s="27">
        <v>91982.376025199599</v>
      </c>
      <c r="AF141" s="27">
        <v>107079.90209863441</v>
      </c>
      <c r="AG141" s="28">
        <f t="shared" si="29"/>
        <v>360593.97661899222</v>
      </c>
      <c r="AH141" s="27">
        <v>65219.370383745591</v>
      </c>
      <c r="AI141" s="27">
        <v>120870.20204062549</v>
      </c>
      <c r="AJ141" s="27">
        <v>54839.206145392345</v>
      </c>
      <c r="AK141" s="27">
        <v>45437.877303995134</v>
      </c>
      <c r="AL141" s="27">
        <v>19998.042682749099</v>
      </c>
      <c r="AM141" s="27">
        <v>20705.482131262586</v>
      </c>
      <c r="AN141" s="27">
        <v>18807.255391015984</v>
      </c>
      <c r="AO141" s="27">
        <v>17443.560703604435</v>
      </c>
      <c r="AP141" s="27">
        <v>28546.67285126416</v>
      </c>
      <c r="AQ141" s="27">
        <v>22088.989499215691</v>
      </c>
      <c r="AR141" s="27">
        <v>28833.898101718354</v>
      </c>
      <c r="AS141" s="27">
        <v>33566.54958563079</v>
      </c>
      <c r="AT141" s="28">
        <f t="shared" si="30"/>
        <v>476357.10682021966</v>
      </c>
      <c r="AU141" s="30">
        <f t="shared" si="26"/>
        <v>15.934496723124928</v>
      </c>
      <c r="AV141" s="30">
        <f t="shared" si="26"/>
        <v>15.934496723124928</v>
      </c>
      <c r="AW141" s="30">
        <f t="shared" si="26"/>
        <v>15.934496723124916</v>
      </c>
      <c r="AX141" s="30">
        <f t="shared" si="26"/>
        <v>15.934496723124937</v>
      </c>
      <c r="AY141" s="31">
        <f t="shared" si="26"/>
        <v>15.934496723124928</v>
      </c>
      <c r="AZ141" s="30">
        <f t="shared" si="26"/>
        <v>15.722891590968882</v>
      </c>
      <c r="BA141" s="30">
        <f t="shared" si="26"/>
        <v>15.722891590968885</v>
      </c>
      <c r="BB141" s="30">
        <f t="shared" si="26"/>
        <v>15.722891590968883</v>
      </c>
      <c r="BC141" s="30">
        <f t="shared" si="26"/>
        <v>15.72289159096888</v>
      </c>
      <c r="BD141" s="30">
        <f t="shared" si="26"/>
        <v>16.346803532195814</v>
      </c>
      <c r="BE141" s="30">
        <f t="shared" si="26"/>
        <v>16.351807254607635</v>
      </c>
      <c r="BF141" s="30">
        <f t="shared" si="25"/>
        <v>16.35180725460765</v>
      </c>
      <c r="BG141" s="30">
        <f t="shared" si="25"/>
        <v>16.351807254607643</v>
      </c>
      <c r="BH141" s="30">
        <f t="shared" si="25"/>
        <v>16.351807254607639</v>
      </c>
      <c r="BI141" s="30">
        <f t="shared" si="25"/>
        <v>16.351807254607628</v>
      </c>
      <c r="BJ141" s="30">
        <f t="shared" si="25"/>
        <v>16.351807254607635</v>
      </c>
      <c r="BK141" s="30">
        <f t="shared" si="24"/>
        <v>16.351807254607639</v>
      </c>
      <c r="BL141" s="31">
        <f t="shared" si="24"/>
        <v>15.967638096670658</v>
      </c>
    </row>
    <row r="142" spans="2:64" ht="15" x14ac:dyDescent="0.4">
      <c r="B142" t="s">
        <v>232</v>
      </c>
      <c r="C142" s="26">
        <v>53395</v>
      </c>
      <c r="D142" t="s">
        <v>231</v>
      </c>
      <c r="E142" t="s">
        <v>231</v>
      </c>
      <c r="F142" t="s">
        <v>32</v>
      </c>
      <c r="G142" t="s">
        <v>33</v>
      </c>
      <c r="H142" t="s">
        <v>34</v>
      </c>
      <c r="J142" s="27">
        <v>1619.3677384301579</v>
      </c>
      <c r="K142" s="27">
        <v>1253.0425929468131</v>
      </c>
      <c r="L142" s="27">
        <v>1635.6611715272988</v>
      </c>
      <c r="M142" s="27">
        <v>1904.1303963021935</v>
      </c>
      <c r="N142" s="28">
        <f t="shared" si="27"/>
        <v>6412.2018992064632</v>
      </c>
      <c r="O142" s="27">
        <v>3011.0276050043831</v>
      </c>
      <c r="P142" s="27">
        <v>5580.2978904176107</v>
      </c>
      <c r="Q142" s="27">
        <v>2531.7994112598062</v>
      </c>
      <c r="R142" s="27">
        <v>2097.7617856493343</v>
      </c>
      <c r="S142" s="27">
        <v>888.02502218225709</v>
      </c>
      <c r="T142" s="27">
        <v>919.15794083940375</v>
      </c>
      <c r="U142" s="27">
        <v>834.89184306151185</v>
      </c>
      <c r="V142" s="27">
        <v>774.35469677008211</v>
      </c>
      <c r="W142" s="27">
        <v>1267.2441467164265</v>
      </c>
      <c r="X142" s="27">
        <v>980.57461181582505</v>
      </c>
      <c r="Y142" s="27">
        <v>1279.994652504744</v>
      </c>
      <c r="Z142" s="27">
        <v>1490.0865578796731</v>
      </c>
      <c r="AA142" s="28">
        <f t="shared" si="28"/>
        <v>21655.216164101061</v>
      </c>
      <c r="AB142" s="29"/>
      <c r="AC142" s="27">
        <v>16278.941116066047</v>
      </c>
      <c r="AD142" s="27">
        <v>12596.401732862878</v>
      </c>
      <c r="AE142" s="27">
        <v>16442.733336741039</v>
      </c>
      <c r="AF142" s="27">
        <v>19141.56115569163</v>
      </c>
      <c r="AG142" s="28">
        <f t="shared" si="29"/>
        <v>64459.637341361595</v>
      </c>
      <c r="AH142" s="27">
        <v>29462.01132913437</v>
      </c>
      <c r="AI142" s="27">
        <v>54601.558416196902</v>
      </c>
      <c r="AJ142" s="27">
        <v>24772.905706231009</v>
      </c>
      <c r="AK142" s="27">
        <v>20525.976378265677</v>
      </c>
      <c r="AL142" s="27">
        <v>9036.6236926653455</v>
      </c>
      <c r="AM142" s="27">
        <v>9353.4351150142684</v>
      </c>
      <c r="AN142" s="27">
        <v>8495.9356114565089</v>
      </c>
      <c r="AO142" s="27">
        <v>7879.9040844178426</v>
      </c>
      <c r="AP142" s="27">
        <v>12895.592122469301</v>
      </c>
      <c r="AQ142" s="27">
        <v>9978.4167655383608</v>
      </c>
      <c r="AR142" s="27">
        <v>13025.342433352462</v>
      </c>
      <c r="AS142" s="27">
        <v>15163.256841533006</v>
      </c>
      <c r="AT142" s="28">
        <f t="shared" si="30"/>
        <v>215190.95849627507</v>
      </c>
      <c r="AU142" s="30">
        <f t="shared" si="26"/>
        <v>10.052652482657907</v>
      </c>
      <c r="AV142" s="30">
        <f t="shared" si="26"/>
        <v>10.052652482657903</v>
      </c>
      <c r="AW142" s="30">
        <f t="shared" si="26"/>
        <v>10.052652482657905</v>
      </c>
      <c r="AX142" s="30">
        <f t="shared" si="26"/>
        <v>10.052652482657907</v>
      </c>
      <c r="AY142" s="31">
        <f t="shared" si="26"/>
        <v>10.052652482657907</v>
      </c>
      <c r="AZ142" s="30">
        <f t="shared" si="26"/>
        <v>9.7847031625243037</v>
      </c>
      <c r="BA142" s="30">
        <f t="shared" si="26"/>
        <v>9.7847031625243055</v>
      </c>
      <c r="BB142" s="30">
        <f t="shared" si="26"/>
        <v>9.7847031625243091</v>
      </c>
      <c r="BC142" s="30">
        <f t="shared" si="26"/>
        <v>9.7847031625243055</v>
      </c>
      <c r="BD142" s="30">
        <f t="shared" si="26"/>
        <v>10.176091289025278</v>
      </c>
      <c r="BE142" s="30">
        <f t="shared" si="26"/>
        <v>10.176091289025278</v>
      </c>
      <c r="BF142" s="30">
        <f t="shared" si="25"/>
        <v>10.176091289025276</v>
      </c>
      <c r="BG142" s="30">
        <f t="shared" si="25"/>
        <v>10.176091289025278</v>
      </c>
      <c r="BH142" s="30">
        <f t="shared" si="25"/>
        <v>10.17609128902528</v>
      </c>
      <c r="BI142" s="30">
        <f t="shared" si="25"/>
        <v>10.176091289025278</v>
      </c>
      <c r="BJ142" s="30">
        <f t="shared" si="25"/>
        <v>10.176091289025278</v>
      </c>
      <c r="BK142" s="30">
        <f t="shared" si="24"/>
        <v>10.17609128902528</v>
      </c>
      <c r="BL142" s="31">
        <f t="shared" si="24"/>
        <v>9.9371420199909117</v>
      </c>
    </row>
    <row r="143" spans="2:64" ht="15" x14ac:dyDescent="0.4">
      <c r="B143" t="s">
        <v>233</v>
      </c>
      <c r="C143" s="26">
        <v>53393</v>
      </c>
      <c r="D143" t="s">
        <v>231</v>
      </c>
      <c r="E143" t="s">
        <v>231</v>
      </c>
      <c r="F143" t="s">
        <v>32</v>
      </c>
      <c r="G143" t="s">
        <v>33</v>
      </c>
      <c r="H143" t="s">
        <v>34</v>
      </c>
      <c r="J143" s="27">
        <v>2372.1684918385554</v>
      </c>
      <c r="K143" s="27">
        <v>1835.5485831782928</v>
      </c>
      <c r="L143" s="27">
        <v>2396.0363062328224</v>
      </c>
      <c r="M143" s="27">
        <v>2789.3096936949592</v>
      </c>
      <c r="N143" s="28">
        <f t="shared" si="27"/>
        <v>9393.06307494463</v>
      </c>
      <c r="O143" s="27">
        <v>3927.5376524417807</v>
      </c>
      <c r="P143" s="27">
        <v>7278.8539168589641</v>
      </c>
      <c r="Q143" s="27">
        <v>3302.4398380227899</v>
      </c>
      <c r="R143" s="27">
        <v>2736.2878989544424</v>
      </c>
      <c r="S143" s="27">
        <v>1158.3260495966742</v>
      </c>
      <c r="T143" s="27">
        <v>1198.9353452581051</v>
      </c>
      <c r="U143" s="27">
        <v>1089.0199558086847</v>
      </c>
      <c r="V143" s="27">
        <v>1010.0562422127671</v>
      </c>
      <c r="W143" s="27">
        <v>1652.9735870880459</v>
      </c>
      <c r="X143" s="27">
        <v>1279.0462971957809</v>
      </c>
      <c r="Y143" s="27">
        <v>1669.6051488472478</v>
      </c>
      <c r="Z143" s="27">
        <v>1943.6457678910144</v>
      </c>
      <c r="AA143" s="28">
        <f t="shared" si="28"/>
        <v>28246.727700176303</v>
      </c>
      <c r="AB143" s="29"/>
      <c r="AC143" s="27">
        <v>34697.125678117809</v>
      </c>
      <c r="AD143" s="27">
        <v>26848.118123964534</v>
      </c>
      <c r="AE143" s="27">
        <v>35046.234334838082</v>
      </c>
      <c r="AF143" s="27">
        <v>40798.547544283407</v>
      </c>
      <c r="AG143" s="28">
        <f t="shared" si="29"/>
        <v>137390.02568120384</v>
      </c>
      <c r="AH143" s="27">
        <v>57051.344719855893</v>
      </c>
      <c r="AI143" s="27">
        <v>105732.50741925246</v>
      </c>
      <c r="AJ143" s="27">
        <v>47971.18456610803</v>
      </c>
      <c r="AK143" s="27">
        <v>39747.271188849314</v>
      </c>
      <c r="AL143" s="27">
        <v>17498.857346648623</v>
      </c>
      <c r="AM143" s="27">
        <v>18112.342877751609</v>
      </c>
      <c r="AN143" s="27">
        <v>16451.848649165062</v>
      </c>
      <c r="AO143" s="27">
        <v>15258.942074839375</v>
      </c>
      <c r="AP143" s="27">
        <v>24971.508676942394</v>
      </c>
      <c r="AQ143" s="27">
        <v>19322.580807175487</v>
      </c>
      <c r="AR143" s="27">
        <v>25222.762049667283</v>
      </c>
      <c r="AS143" s="27">
        <v>29362.699765394118</v>
      </c>
      <c r="AT143" s="28">
        <f t="shared" si="30"/>
        <v>416703.85014164966</v>
      </c>
      <c r="AU143" s="30">
        <f t="shared" si="26"/>
        <v>14.626754295697483</v>
      </c>
      <c r="AV143" s="30">
        <f t="shared" si="26"/>
        <v>14.62675429569749</v>
      </c>
      <c r="AW143" s="30">
        <f t="shared" ref="AW143:BH205" si="31">IFERROR(AE143/L143,0)</f>
        <v>14.62675429569749</v>
      </c>
      <c r="AX143" s="30">
        <f t="shared" si="31"/>
        <v>14.626754295697495</v>
      </c>
      <c r="AY143" s="31">
        <f t="shared" si="31"/>
        <v>14.62675429569749</v>
      </c>
      <c r="AZ143" s="30">
        <f t="shared" si="31"/>
        <v>14.525982885074731</v>
      </c>
      <c r="BA143" s="30">
        <f t="shared" si="31"/>
        <v>14.525982885074729</v>
      </c>
      <c r="BB143" s="30">
        <f t="shared" si="31"/>
        <v>14.525982885074736</v>
      </c>
      <c r="BC143" s="30">
        <f t="shared" si="31"/>
        <v>14.525982885074727</v>
      </c>
      <c r="BD143" s="30">
        <f t="shared" si="31"/>
        <v>15.107022200477727</v>
      </c>
      <c r="BE143" s="30">
        <f t="shared" si="31"/>
        <v>15.107022200477715</v>
      </c>
      <c r="BF143" s="30">
        <f t="shared" si="25"/>
        <v>15.107022200477717</v>
      </c>
      <c r="BG143" s="30">
        <f t="shared" si="25"/>
        <v>15.107022200477722</v>
      </c>
      <c r="BH143" s="30">
        <f t="shared" si="25"/>
        <v>15.107022200477717</v>
      </c>
      <c r="BI143" s="30">
        <f t="shared" si="25"/>
        <v>15.107022200477722</v>
      </c>
      <c r="BJ143" s="30">
        <f t="shared" si="25"/>
        <v>15.10702220047772</v>
      </c>
      <c r="BK143" s="30">
        <f t="shared" si="24"/>
        <v>15.107022200477719</v>
      </c>
      <c r="BL143" s="31">
        <f t="shared" si="24"/>
        <v>14.752287576980068</v>
      </c>
    </row>
    <row r="144" spans="2:64" ht="15" x14ac:dyDescent="0.4">
      <c r="B144" t="s">
        <v>234</v>
      </c>
      <c r="C144" s="26">
        <v>53951</v>
      </c>
      <c r="D144" t="s">
        <v>231</v>
      </c>
      <c r="E144" t="s">
        <v>231</v>
      </c>
      <c r="F144" t="s">
        <v>32</v>
      </c>
      <c r="G144" t="s">
        <v>33</v>
      </c>
      <c r="H144" t="s">
        <v>76</v>
      </c>
      <c r="J144" s="27">
        <v>1490.012038309233</v>
      </c>
      <c r="K144" s="27">
        <v>1152.9490823467397</v>
      </c>
      <c r="L144" s="27">
        <v>1505.0039458815429</v>
      </c>
      <c r="M144" s="27">
        <v>1752.0277486515849</v>
      </c>
      <c r="N144" s="28">
        <f t="shared" si="27"/>
        <v>5899.9928151891008</v>
      </c>
      <c r="O144" s="27">
        <v>1511.7039999267367</v>
      </c>
      <c r="P144" s="27">
        <v>2801.6211567461714</v>
      </c>
      <c r="Q144" s="27">
        <v>1271.1046855407476</v>
      </c>
      <c r="R144" s="27">
        <v>1053.1935598959533</v>
      </c>
      <c r="S144" s="27">
        <v>445.83815035000077</v>
      </c>
      <c r="T144" s="27">
        <v>461.46861404458213</v>
      </c>
      <c r="U144" s="27">
        <v>419.16232736114557</v>
      </c>
      <c r="V144" s="27">
        <v>388.76929939926083</v>
      </c>
      <c r="W144" s="27">
        <v>636.22732727227162</v>
      </c>
      <c r="X144" s="27">
        <v>492.30321251286983</v>
      </c>
      <c r="Y144" s="27">
        <v>642.62879319349133</v>
      </c>
      <c r="Z144" s="27">
        <v>748.10666167256397</v>
      </c>
      <c r="AA144" s="28">
        <f t="shared" si="28"/>
        <v>10872.127787915797</v>
      </c>
      <c r="AB144" s="29"/>
      <c r="AC144" s="27">
        <v>24561.369100144027</v>
      </c>
      <c r="AD144" s="27">
        <v>19005.220922459153</v>
      </c>
      <c r="AE144" s="27">
        <v>24808.495811829249</v>
      </c>
      <c r="AF144" s="27">
        <v>28880.437944082678</v>
      </c>
      <c r="AG144" s="28">
        <f t="shared" si="29"/>
        <v>97255.523778515097</v>
      </c>
      <c r="AH144" s="27">
        <v>24392.209879934326</v>
      </c>
      <c r="AI144" s="27">
        <v>45205.762016061963</v>
      </c>
      <c r="AJ144" s="27">
        <v>20510.002137045652</v>
      </c>
      <c r="AK144" s="27">
        <v>16993.88131434613</v>
      </c>
      <c r="AL144" s="27">
        <v>7478.5031384484173</v>
      </c>
      <c r="AM144" s="27">
        <v>7743.9028135245462</v>
      </c>
      <c r="AN144" s="27">
        <v>7033.9611999308836</v>
      </c>
      <c r="AO144" s="27">
        <v>6523.9359293437301</v>
      </c>
      <c r="AP144" s="27">
        <v>10676.528023266521</v>
      </c>
      <c r="AQ144" s="27">
        <v>8261.3380768670795</v>
      </c>
      <c r="AR144" s="27">
        <v>10783.950995163863</v>
      </c>
      <c r="AS144" s="27">
        <v>12553.974649255211</v>
      </c>
      <c r="AT144" s="28">
        <f t="shared" si="30"/>
        <v>178157.95017318835</v>
      </c>
      <c r="AU144" s="30">
        <f t="shared" ref="AU144:BH206" si="32">IFERROR(AC144/J144,0)</f>
        <v>16.48400715474396</v>
      </c>
      <c r="AV144" s="30">
        <f t="shared" si="32"/>
        <v>16.484007154743971</v>
      </c>
      <c r="AW144" s="30">
        <f t="shared" si="31"/>
        <v>16.484007154743963</v>
      </c>
      <c r="AX144" s="30">
        <f t="shared" si="31"/>
        <v>16.48400715474396</v>
      </c>
      <c r="AY144" s="31">
        <f t="shared" si="31"/>
        <v>16.48400715474396</v>
      </c>
      <c r="AZ144" s="30">
        <f t="shared" si="31"/>
        <v>16.135572758368351</v>
      </c>
      <c r="BA144" s="30">
        <f t="shared" si="31"/>
        <v>16.135572758368355</v>
      </c>
      <c r="BB144" s="30">
        <f t="shared" si="31"/>
        <v>16.135572758368347</v>
      </c>
      <c r="BC144" s="30">
        <f t="shared" si="31"/>
        <v>16.135572758368351</v>
      </c>
      <c r="BD144" s="30">
        <f t="shared" si="31"/>
        <v>16.774031411572771</v>
      </c>
      <c r="BE144" s="30">
        <f t="shared" si="31"/>
        <v>16.780995668703081</v>
      </c>
      <c r="BF144" s="30">
        <f t="shared" si="25"/>
        <v>16.780995668703074</v>
      </c>
      <c r="BG144" s="30">
        <f t="shared" si="25"/>
        <v>16.780995668703088</v>
      </c>
      <c r="BH144" s="30">
        <f t="shared" si="25"/>
        <v>16.780995668703071</v>
      </c>
      <c r="BI144" s="30">
        <f t="shared" si="25"/>
        <v>16.780995668703078</v>
      </c>
      <c r="BJ144" s="30">
        <f t="shared" si="25"/>
        <v>16.780995668703078</v>
      </c>
      <c r="BK144" s="30">
        <f t="shared" si="24"/>
        <v>16.780995668703074</v>
      </c>
      <c r="BL144" s="31">
        <f t="shared" si="24"/>
        <v>16.386668152595501</v>
      </c>
    </row>
    <row r="145" spans="2:64" ht="15" x14ac:dyDescent="0.4">
      <c r="B145" t="s">
        <v>235</v>
      </c>
      <c r="C145" s="26">
        <v>53092</v>
      </c>
      <c r="D145" t="s">
        <v>231</v>
      </c>
      <c r="E145" t="s">
        <v>231</v>
      </c>
      <c r="F145" t="s">
        <v>32</v>
      </c>
      <c r="G145" t="s">
        <v>33</v>
      </c>
      <c r="H145" t="s">
        <v>34</v>
      </c>
      <c r="J145" s="27">
        <v>759.61991157139187</v>
      </c>
      <c r="K145" s="27">
        <v>587.78255306739095</v>
      </c>
      <c r="L145" s="27">
        <v>767.26290452149385</v>
      </c>
      <c r="M145" s="27">
        <v>893.19759121646473</v>
      </c>
      <c r="N145" s="28">
        <f t="shared" si="27"/>
        <v>3007.8629603767417</v>
      </c>
      <c r="O145" s="27">
        <v>1115.3716783840191</v>
      </c>
      <c r="P145" s="27">
        <v>2067.1036737004051</v>
      </c>
      <c r="Q145" s="27">
        <v>937.85170018871736</v>
      </c>
      <c r="R145" s="27">
        <v>777.07161495988646</v>
      </c>
      <c r="S145" s="27">
        <v>328.9501424006333</v>
      </c>
      <c r="T145" s="27">
        <v>340.48267557233254</v>
      </c>
      <c r="U145" s="27">
        <v>309.26807669147558</v>
      </c>
      <c r="V145" s="27">
        <v>286.84336748209159</v>
      </c>
      <c r="W145" s="27">
        <v>469.42386994268929</v>
      </c>
      <c r="X145" s="27">
        <v>363.23318615346369</v>
      </c>
      <c r="Y145" s="27">
        <v>474.14702592363227</v>
      </c>
      <c r="Z145" s="27">
        <v>551.97114175819627</v>
      </c>
      <c r="AA145" s="28">
        <f t="shared" si="28"/>
        <v>8021.7181531575434</v>
      </c>
      <c r="AB145" s="29"/>
      <c r="AC145" s="27">
        <v>24251.98349908584</v>
      </c>
      <c r="AD145" s="27">
        <v>18765.822960791596</v>
      </c>
      <c r="AE145" s="27">
        <v>24495.997296099213</v>
      </c>
      <c r="AF145" s="27">
        <v>28516.647488602677</v>
      </c>
      <c r="AG145" s="28">
        <f t="shared" si="29"/>
        <v>96030.451244579337</v>
      </c>
      <c r="AH145" s="27">
        <v>35098.94339351407</v>
      </c>
      <c r="AI145" s="27">
        <v>65048.410532399852</v>
      </c>
      <c r="AJ145" s="27">
        <v>29512.676692783385</v>
      </c>
      <c r="AK145" s="27">
        <v>24453.187358764128</v>
      </c>
      <c r="AL145" s="27">
        <v>10765.194201195285</v>
      </c>
      <c r="AM145" s="27">
        <v>11143.016882630409</v>
      </c>
      <c r="AN145" s="27">
        <v>10121.453005028556</v>
      </c>
      <c r="AO145" s="27">
        <v>9387.5568886161382</v>
      </c>
      <c r="AP145" s="27">
        <v>15362.890634856552</v>
      </c>
      <c r="AQ145" s="27">
        <v>11887.575539154914</v>
      </c>
      <c r="AR145" s="27">
        <v>15517.465920505007</v>
      </c>
      <c r="AS145" s="27">
        <v>18064.424984318237</v>
      </c>
      <c r="AT145" s="28">
        <f t="shared" si="30"/>
        <v>256362.79603376656</v>
      </c>
      <c r="AU145" s="30">
        <f t="shared" si="32"/>
        <v>31.92647155459214</v>
      </c>
      <c r="AV145" s="30">
        <f t="shared" si="32"/>
        <v>31.92647155459213</v>
      </c>
      <c r="AW145" s="30">
        <f t="shared" si="31"/>
        <v>31.926471554592133</v>
      </c>
      <c r="AX145" s="30">
        <f t="shared" si="31"/>
        <v>31.926471554592137</v>
      </c>
      <c r="AY145" s="31">
        <f t="shared" si="31"/>
        <v>31.926471554592137</v>
      </c>
      <c r="AZ145" s="30">
        <f t="shared" si="31"/>
        <v>31.468383206902274</v>
      </c>
      <c r="BA145" s="30">
        <f t="shared" si="31"/>
        <v>31.468383206902285</v>
      </c>
      <c r="BB145" s="30">
        <f t="shared" si="31"/>
        <v>31.468383206902281</v>
      </c>
      <c r="BC145" s="30">
        <f t="shared" si="31"/>
        <v>31.468383206902281</v>
      </c>
      <c r="BD145" s="30">
        <f t="shared" si="31"/>
        <v>32.725914397338045</v>
      </c>
      <c r="BE145" s="30">
        <f t="shared" si="31"/>
        <v>32.72711853517837</v>
      </c>
      <c r="BF145" s="30">
        <f t="shared" si="25"/>
        <v>32.72711853517837</v>
      </c>
      <c r="BG145" s="30">
        <f t="shared" si="25"/>
        <v>32.727118535178363</v>
      </c>
      <c r="BH145" s="30">
        <f t="shared" si="25"/>
        <v>32.727118535178384</v>
      </c>
      <c r="BI145" s="30">
        <f t="shared" si="25"/>
        <v>32.727118535178363</v>
      </c>
      <c r="BJ145" s="30">
        <f t="shared" si="25"/>
        <v>32.727118535178377</v>
      </c>
      <c r="BK145" s="30">
        <f t="shared" si="24"/>
        <v>32.727118535178377</v>
      </c>
      <c r="BL145" s="31">
        <f t="shared" si="24"/>
        <v>31.958589312048556</v>
      </c>
    </row>
    <row r="146" spans="2:64" ht="15" x14ac:dyDescent="0.4">
      <c r="B146" t="s">
        <v>236</v>
      </c>
      <c r="C146" s="26">
        <v>53944</v>
      </c>
      <c r="D146" t="s">
        <v>231</v>
      </c>
      <c r="E146" t="s">
        <v>231</v>
      </c>
      <c r="F146" t="s">
        <v>32</v>
      </c>
      <c r="G146" t="s">
        <v>33</v>
      </c>
      <c r="H146" t="s">
        <v>76</v>
      </c>
      <c r="J146" s="27">
        <v>948.83674371087682</v>
      </c>
      <c r="K146" s="27">
        <v>734.19571441830692</v>
      </c>
      <c r="L146" s="27">
        <v>958.38356105006221</v>
      </c>
      <c r="M146" s="27">
        <v>1115.6878341788683</v>
      </c>
      <c r="N146" s="28">
        <f t="shared" si="27"/>
        <v>3757.1038533581145</v>
      </c>
      <c r="O146" s="27">
        <v>1247.6737649891995</v>
      </c>
      <c r="P146" s="27">
        <v>2312.2973921351663</v>
      </c>
      <c r="Q146" s="27">
        <v>1049.0968925007126</v>
      </c>
      <c r="R146" s="27">
        <v>869.245549526525</v>
      </c>
      <c r="S146" s="27">
        <v>367.96923448635783</v>
      </c>
      <c r="T146" s="27">
        <v>380.86972260260967</v>
      </c>
      <c r="U146" s="27">
        <v>345.95254040848027</v>
      </c>
      <c r="V146" s="27">
        <v>320.86787857755013</v>
      </c>
      <c r="W146" s="27">
        <v>525.10553973878564</v>
      </c>
      <c r="X146" s="27">
        <v>406.3188313995189</v>
      </c>
      <c r="Y146" s="27">
        <v>530.38894250001772</v>
      </c>
      <c r="Z146" s="27">
        <v>617.44432456866264</v>
      </c>
      <c r="AA146" s="28">
        <f t="shared" si="28"/>
        <v>8973.2306134335868</v>
      </c>
      <c r="AB146" s="29"/>
      <c r="AC146" s="27">
        <v>27197.610101085174</v>
      </c>
      <c r="AD146" s="27">
        <v>21045.10487287939</v>
      </c>
      <c r="AE146" s="27">
        <v>27471.261619556044</v>
      </c>
      <c r="AF146" s="27">
        <v>31980.256782474757</v>
      </c>
      <c r="AG146" s="28">
        <f t="shared" si="29"/>
        <v>107694.23337599536</v>
      </c>
      <c r="AH146" s="27">
        <v>34705.037507823938</v>
      </c>
      <c r="AI146" s="27">
        <v>64318.38993103223</v>
      </c>
      <c r="AJ146" s="27">
        <v>29181.463957362252</v>
      </c>
      <c r="AK146" s="27">
        <v>24178.755894645448</v>
      </c>
      <c r="AL146" s="27">
        <v>10640.341389148394</v>
      </c>
      <c r="AM146" s="27">
        <v>11017.961837947107</v>
      </c>
      <c r="AN146" s="27">
        <v>10007.862693613268</v>
      </c>
      <c r="AO146" s="27">
        <v>9282.2028935052822</v>
      </c>
      <c r="AP146" s="27">
        <v>15190.477095952065</v>
      </c>
      <c r="AQ146" s="27">
        <v>11754.16451538249</v>
      </c>
      <c r="AR146" s="27">
        <v>15343.31762525426</v>
      </c>
      <c r="AS146" s="27">
        <v>17861.692860927713</v>
      </c>
      <c r="AT146" s="28">
        <f t="shared" si="30"/>
        <v>253481.66820259442</v>
      </c>
      <c r="AU146" s="30">
        <f t="shared" si="32"/>
        <v>28.66416196606805</v>
      </c>
      <c r="AV146" s="30">
        <f t="shared" si="32"/>
        <v>28.664161966068047</v>
      </c>
      <c r="AW146" s="30">
        <f t="shared" si="31"/>
        <v>28.664161966068043</v>
      </c>
      <c r="AX146" s="30">
        <f t="shared" si="31"/>
        <v>28.66416196606805</v>
      </c>
      <c r="AY146" s="31">
        <f t="shared" si="31"/>
        <v>28.664161966068047</v>
      </c>
      <c r="AZ146" s="30">
        <f t="shared" si="31"/>
        <v>27.815794866957358</v>
      </c>
      <c r="BA146" s="30">
        <f t="shared" si="31"/>
        <v>27.815794866957351</v>
      </c>
      <c r="BB146" s="30">
        <f t="shared" si="31"/>
        <v>27.815794866957372</v>
      </c>
      <c r="BC146" s="30">
        <f t="shared" si="31"/>
        <v>27.815794866957365</v>
      </c>
      <c r="BD146" s="30">
        <f t="shared" si="31"/>
        <v>28.916388632329738</v>
      </c>
      <c r="BE146" s="30">
        <f t="shared" si="31"/>
        <v>28.928426661635648</v>
      </c>
      <c r="BF146" s="30">
        <f t="shared" si="25"/>
        <v>28.928426661635658</v>
      </c>
      <c r="BG146" s="30">
        <f t="shared" si="25"/>
        <v>28.928426661635683</v>
      </c>
      <c r="BH146" s="30">
        <f t="shared" si="25"/>
        <v>28.928426661635651</v>
      </c>
      <c r="BI146" s="30">
        <f t="shared" si="25"/>
        <v>28.928426661635669</v>
      </c>
      <c r="BJ146" s="30">
        <f t="shared" si="25"/>
        <v>28.928426661635669</v>
      </c>
      <c r="BK146" s="30">
        <f t="shared" si="24"/>
        <v>28.928426661635644</v>
      </c>
      <c r="BL146" s="31">
        <f t="shared" si="24"/>
        <v>28.248651920648701</v>
      </c>
    </row>
    <row r="147" spans="2:64" ht="15" x14ac:dyDescent="0.4">
      <c r="B147" t="s">
        <v>237</v>
      </c>
      <c r="C147" s="26">
        <v>53094</v>
      </c>
      <c r="D147" t="s">
        <v>231</v>
      </c>
      <c r="E147" t="s">
        <v>231</v>
      </c>
      <c r="F147" t="s">
        <v>32</v>
      </c>
      <c r="G147" t="s">
        <v>33</v>
      </c>
      <c r="H147" t="s">
        <v>34</v>
      </c>
      <c r="J147" s="27">
        <v>992.00896134643972</v>
      </c>
      <c r="K147" s="27">
        <v>767.60173223966456</v>
      </c>
      <c r="L147" s="27">
        <v>1001.9901603415062</v>
      </c>
      <c r="M147" s="27">
        <v>1166.4518020687929</v>
      </c>
      <c r="N147" s="28">
        <f t="shared" si="27"/>
        <v>3928.0526559964037</v>
      </c>
      <c r="O147" s="27">
        <v>1039.4945597602823</v>
      </c>
      <c r="P147" s="27">
        <v>1926.4816069072353</v>
      </c>
      <c r="Q147" s="27">
        <v>874.05100837825898</v>
      </c>
      <c r="R147" s="27">
        <v>724.20855930755397</v>
      </c>
      <c r="S147" s="27">
        <v>306.57214100437216</v>
      </c>
      <c r="T147" s="27">
        <v>317.32013266003679</v>
      </c>
      <c r="U147" s="27">
        <v>288.22901769756891</v>
      </c>
      <c r="V147" s="27">
        <v>267.32982895258175</v>
      </c>
      <c r="W147" s="27">
        <v>437.48964446902465</v>
      </c>
      <c r="X147" s="27">
        <v>338.5229589816787</v>
      </c>
      <c r="Y147" s="27">
        <v>441.89149099448304</v>
      </c>
      <c r="Z147" s="27">
        <v>514.42134502967838</v>
      </c>
      <c r="AA147" s="28">
        <f t="shared" si="28"/>
        <v>7476.0122941427571</v>
      </c>
      <c r="AB147" s="29"/>
      <c r="AC147" s="27">
        <v>30877.198052945765</v>
      </c>
      <c r="AD147" s="27">
        <v>23892.315125842015</v>
      </c>
      <c r="AE147" s="27">
        <v>31187.87211959757</v>
      </c>
      <c r="AF147" s="27">
        <v>36306.893097829045</v>
      </c>
      <c r="AG147" s="28">
        <f t="shared" si="29"/>
        <v>122264.27839621439</v>
      </c>
      <c r="AH147" s="27">
        <v>31171.137712441676</v>
      </c>
      <c r="AI147" s="27">
        <v>57769.059881602101</v>
      </c>
      <c r="AJ147" s="27">
        <v>26210.011484947299</v>
      </c>
      <c r="AK147" s="27">
        <v>21716.712726145128</v>
      </c>
      <c r="AL147" s="27">
        <v>9560.3659088118457</v>
      </c>
      <c r="AM147" s="27">
        <v>9896.039031326507</v>
      </c>
      <c r="AN147" s="27">
        <v>8988.7949597950665</v>
      </c>
      <c r="AO147" s="27">
        <v>8337.0267098270433</v>
      </c>
      <c r="AP147" s="27">
        <v>13643.68078751869</v>
      </c>
      <c r="AQ147" s="27">
        <v>10557.276612108062</v>
      </c>
      <c r="AR147" s="27">
        <v>13780.958068543006</v>
      </c>
      <c r="AS147" s="27">
        <v>16042.895439020791</v>
      </c>
      <c r="AT147" s="28">
        <f t="shared" si="30"/>
        <v>227673.9593220872</v>
      </c>
      <c r="AU147" s="30">
        <f t="shared" si="32"/>
        <v>31.125926535014948</v>
      </c>
      <c r="AV147" s="30">
        <f t="shared" si="32"/>
        <v>31.125926535014948</v>
      </c>
      <c r="AW147" s="30">
        <f t="shared" si="31"/>
        <v>31.125926535014948</v>
      </c>
      <c r="AX147" s="30">
        <f t="shared" si="31"/>
        <v>31.125926535014948</v>
      </c>
      <c r="AY147" s="31">
        <f t="shared" si="31"/>
        <v>31.125926535014944</v>
      </c>
      <c r="AZ147" s="30">
        <f t="shared" si="31"/>
        <v>29.986821402538219</v>
      </c>
      <c r="BA147" s="30">
        <f t="shared" si="31"/>
        <v>29.986821402538219</v>
      </c>
      <c r="BB147" s="30">
        <f t="shared" si="31"/>
        <v>29.986821402538233</v>
      </c>
      <c r="BC147" s="30">
        <f t="shared" si="31"/>
        <v>29.986821402538219</v>
      </c>
      <c r="BD147" s="30">
        <f t="shared" si="31"/>
        <v>31.184718472757449</v>
      </c>
      <c r="BE147" s="30">
        <f t="shared" si="31"/>
        <v>31.186294258639744</v>
      </c>
      <c r="BF147" s="30">
        <f t="shared" si="25"/>
        <v>31.186294258639744</v>
      </c>
      <c r="BG147" s="30">
        <f t="shared" si="25"/>
        <v>31.186294258639737</v>
      </c>
      <c r="BH147" s="30">
        <f t="shared" si="25"/>
        <v>31.186294258639752</v>
      </c>
      <c r="BI147" s="30">
        <f t="shared" si="25"/>
        <v>31.186294258639737</v>
      </c>
      <c r="BJ147" s="30">
        <f t="shared" si="25"/>
        <v>31.186294258639752</v>
      </c>
      <c r="BK147" s="30">
        <f t="shared" si="24"/>
        <v>31.186294258639737</v>
      </c>
      <c r="BL147" s="31">
        <f t="shared" si="24"/>
        <v>30.453930566762615</v>
      </c>
    </row>
    <row r="148" spans="2:64" ht="15" x14ac:dyDescent="0.4">
      <c r="B148" t="s">
        <v>238</v>
      </c>
      <c r="C148" s="26">
        <v>53106</v>
      </c>
      <c r="D148" t="s">
        <v>231</v>
      </c>
      <c r="E148" t="s">
        <v>231</v>
      </c>
      <c r="F148" t="s">
        <v>32</v>
      </c>
      <c r="G148" t="s">
        <v>33</v>
      </c>
      <c r="H148" t="s">
        <v>34</v>
      </c>
      <c r="J148" s="27">
        <v>959.48645634835634</v>
      </c>
      <c r="K148" s="27">
        <v>742.43630314977179</v>
      </c>
      <c r="L148" s="27">
        <v>969.14042685370907</v>
      </c>
      <c r="M148" s="27">
        <v>1128.2102780090547</v>
      </c>
      <c r="N148" s="28">
        <f t="shared" si="27"/>
        <v>3799.2734643608919</v>
      </c>
      <c r="O148" s="27">
        <v>889.90230726935124</v>
      </c>
      <c r="P148" s="27">
        <v>1649.2442512581008</v>
      </c>
      <c r="Q148" s="27">
        <v>748.26751301737352</v>
      </c>
      <c r="R148" s="27">
        <v>619.98868759893014</v>
      </c>
      <c r="S148" s="27">
        <v>262.45375991886914</v>
      </c>
      <c r="T148" s="27">
        <v>271.6550226701562</v>
      </c>
      <c r="U148" s="27">
        <v>246.75037061299844</v>
      </c>
      <c r="V148" s="27">
        <v>228.85875578000616</v>
      </c>
      <c r="W148" s="27">
        <v>374.53110299029845</v>
      </c>
      <c r="X148" s="27">
        <v>289.80657900789362</v>
      </c>
      <c r="Y148" s="27">
        <v>378.29948575139201</v>
      </c>
      <c r="Z148" s="27">
        <v>440.3916668463213</v>
      </c>
      <c r="AA148" s="28">
        <f t="shared" si="28"/>
        <v>6400.1495027216915</v>
      </c>
      <c r="AB148" s="29"/>
      <c r="AC148" s="27">
        <v>30123.604283823875</v>
      </c>
      <c r="AD148" s="27">
        <v>23309.195511884249</v>
      </c>
      <c r="AE148" s="27">
        <v>30426.695990170341</v>
      </c>
      <c r="AF148" s="27">
        <v>35420.781334456522</v>
      </c>
      <c r="AG148" s="28">
        <f t="shared" si="29"/>
        <v>119280.27712033498</v>
      </c>
      <c r="AH148" s="27">
        <v>26804.782669174729</v>
      </c>
      <c r="AI148" s="27">
        <v>49676.951461121047</v>
      </c>
      <c r="AJ148" s="27">
        <v>22538.595417714499</v>
      </c>
      <c r="AK148" s="27">
        <v>18674.70383286256</v>
      </c>
      <c r="AL148" s="27">
        <v>8221.5953092611417</v>
      </c>
      <c r="AM148" s="27">
        <v>8509.8329732925013</v>
      </c>
      <c r="AN148" s="27">
        <v>7729.6728010960578</v>
      </c>
      <c r="AO148" s="27">
        <v>7169.2021999832832</v>
      </c>
      <c r="AP148" s="27">
        <v>11732.516845898155</v>
      </c>
      <c r="AQ148" s="27">
        <v>9078.446471107367</v>
      </c>
      <c r="AR148" s="27">
        <v>11850.564756667971</v>
      </c>
      <c r="AS148" s="27">
        <v>13795.657046409495</v>
      </c>
      <c r="AT148" s="28">
        <f t="shared" si="30"/>
        <v>195782.52178458881</v>
      </c>
      <c r="AU148" s="30">
        <f t="shared" si="32"/>
        <v>31.395549238359479</v>
      </c>
      <c r="AV148" s="30">
        <f t="shared" si="32"/>
        <v>31.395549238359486</v>
      </c>
      <c r="AW148" s="30">
        <f t="shared" si="31"/>
        <v>31.395549238359475</v>
      </c>
      <c r="AX148" s="30">
        <f t="shared" si="31"/>
        <v>31.395549238359486</v>
      </c>
      <c r="AY148" s="31">
        <f t="shared" si="31"/>
        <v>31.395549238359479</v>
      </c>
      <c r="AZ148" s="30">
        <f t="shared" si="31"/>
        <v>30.121039635715416</v>
      </c>
      <c r="BA148" s="30">
        <f t="shared" si="31"/>
        <v>30.121039635715416</v>
      </c>
      <c r="BB148" s="30">
        <f t="shared" si="31"/>
        <v>30.121039635715405</v>
      </c>
      <c r="BC148" s="30">
        <f t="shared" si="31"/>
        <v>30.12103963571542</v>
      </c>
      <c r="BD148" s="30">
        <f t="shared" si="31"/>
        <v>31.325881221144012</v>
      </c>
      <c r="BE148" s="30">
        <f t="shared" si="31"/>
        <v>31.325881221144027</v>
      </c>
      <c r="BF148" s="30">
        <f t="shared" si="25"/>
        <v>31.32588122114403</v>
      </c>
      <c r="BG148" s="30">
        <f t="shared" si="25"/>
        <v>31.32588122114403</v>
      </c>
      <c r="BH148" s="30">
        <f t="shared" si="25"/>
        <v>31.325881221144041</v>
      </c>
      <c r="BI148" s="30">
        <f t="shared" si="25"/>
        <v>31.325881221144027</v>
      </c>
      <c r="BJ148" s="30">
        <f t="shared" si="25"/>
        <v>31.325881221144019</v>
      </c>
      <c r="BK148" s="30">
        <f t="shared" si="24"/>
        <v>31.32588122114403</v>
      </c>
      <c r="BL148" s="31">
        <f t="shared" si="24"/>
        <v>30.590304445440132</v>
      </c>
    </row>
    <row r="149" spans="2:64" ht="15" x14ac:dyDescent="0.4">
      <c r="B149" t="s">
        <v>239</v>
      </c>
      <c r="C149" s="26">
        <v>53948</v>
      </c>
      <c r="D149" t="s">
        <v>231</v>
      </c>
      <c r="E149" t="s">
        <v>231</v>
      </c>
      <c r="F149" t="s">
        <v>32</v>
      </c>
      <c r="G149" t="s">
        <v>33</v>
      </c>
      <c r="H149" t="s">
        <v>76</v>
      </c>
      <c r="J149" s="27">
        <v>2318.4298567433452</v>
      </c>
      <c r="K149" s="27">
        <v>1793.9664291912061</v>
      </c>
      <c r="L149" s="27">
        <v>2341.7569743984636</v>
      </c>
      <c r="M149" s="27">
        <v>2726.1212244472194</v>
      </c>
      <c r="N149" s="28">
        <f t="shared" si="27"/>
        <v>9180.2744847802333</v>
      </c>
      <c r="O149" s="27">
        <v>9666.9783033858457</v>
      </c>
      <c r="P149" s="27">
        <v>17915.683849407396</v>
      </c>
      <c r="Q149" s="27">
        <v>8128.4043814463757</v>
      </c>
      <c r="R149" s="27">
        <v>6734.915891783915</v>
      </c>
      <c r="S149" s="27">
        <v>2851.0262104644912</v>
      </c>
      <c r="T149" s="27">
        <v>2950.9792127815435</v>
      </c>
      <c r="U149" s="27">
        <v>2680.4408299463967</v>
      </c>
      <c r="V149" s="27">
        <v>2486.084830427988</v>
      </c>
      <c r="W149" s="27">
        <v>4068.5185519521574</v>
      </c>
      <c r="X149" s="27">
        <v>3148.1589479684576</v>
      </c>
      <c r="Y149" s="27">
        <v>4109.4543648978788</v>
      </c>
      <c r="Z149" s="27">
        <v>4783.9596027777798</v>
      </c>
      <c r="AA149" s="28">
        <f t="shared" si="28"/>
        <v>69524.604977240218</v>
      </c>
      <c r="AB149" s="29"/>
      <c r="AC149" s="27">
        <v>22322.818457807145</v>
      </c>
      <c r="AD149" s="27">
        <v>17273.063837475001</v>
      </c>
      <c r="AE149" s="27">
        <v>22547.421764672148</v>
      </c>
      <c r="AF149" s="27">
        <v>26248.242538073442</v>
      </c>
      <c r="AG149" s="28">
        <f t="shared" si="29"/>
        <v>88391.546598027751</v>
      </c>
      <c r="AH149" s="27">
        <v>95755.202364102879</v>
      </c>
      <c r="AI149" s="27">
        <v>177461.85815793494</v>
      </c>
      <c r="AJ149" s="27">
        <v>80515.025690090435</v>
      </c>
      <c r="AK149" s="27">
        <v>66711.976988414681</v>
      </c>
      <c r="AL149" s="27">
        <v>29357.982586600916</v>
      </c>
      <c r="AM149" s="27">
        <v>30399.827840403319</v>
      </c>
      <c r="AN149" s="27">
        <v>27612.847767216874</v>
      </c>
      <c r="AO149" s="27">
        <v>25610.668660187508</v>
      </c>
      <c r="AP149" s="27">
        <v>41912.27881549592</v>
      </c>
      <c r="AQ149" s="27">
        <v>32431.095962298514</v>
      </c>
      <c r="AR149" s="27">
        <v>42333.983468875624</v>
      </c>
      <c r="AS149" s="27">
        <v>49282.471286135391</v>
      </c>
      <c r="AT149" s="28">
        <f t="shared" si="30"/>
        <v>699385.21958775702</v>
      </c>
      <c r="AU149" s="30">
        <f t="shared" si="32"/>
        <v>9.6284208870410204</v>
      </c>
      <c r="AV149" s="30">
        <f t="shared" si="32"/>
        <v>9.6284208870410186</v>
      </c>
      <c r="AW149" s="30">
        <f t="shared" si="31"/>
        <v>9.6284208870410186</v>
      </c>
      <c r="AX149" s="30">
        <f t="shared" si="31"/>
        <v>9.6284208870410186</v>
      </c>
      <c r="AY149" s="31">
        <f t="shared" si="31"/>
        <v>9.6284208870410222</v>
      </c>
      <c r="AZ149" s="30">
        <f t="shared" si="31"/>
        <v>9.9053912566002911</v>
      </c>
      <c r="BA149" s="30">
        <f t="shared" si="31"/>
        <v>9.905391256600284</v>
      </c>
      <c r="BB149" s="30">
        <f t="shared" si="31"/>
        <v>9.9053912566002928</v>
      </c>
      <c r="BC149" s="30">
        <f t="shared" si="31"/>
        <v>9.9053912566002822</v>
      </c>
      <c r="BD149" s="30">
        <f t="shared" si="31"/>
        <v>10.2973387192459</v>
      </c>
      <c r="BE149" s="30">
        <f t="shared" si="31"/>
        <v>10.301606906864299</v>
      </c>
      <c r="BF149" s="30">
        <f t="shared" si="25"/>
        <v>10.301606906864299</v>
      </c>
      <c r="BG149" s="30">
        <f t="shared" si="25"/>
        <v>10.301606906864293</v>
      </c>
      <c r="BH149" s="30">
        <f t="shared" si="25"/>
        <v>10.301606906864308</v>
      </c>
      <c r="BI149" s="30">
        <f t="shared" si="25"/>
        <v>10.301606906864301</v>
      </c>
      <c r="BJ149" s="30">
        <f t="shared" si="25"/>
        <v>10.301606906864297</v>
      </c>
      <c r="BK149" s="30">
        <f t="shared" si="24"/>
        <v>10.301606906864304</v>
      </c>
      <c r="BL149" s="31">
        <f t="shared" si="24"/>
        <v>10.059535323022832</v>
      </c>
    </row>
    <row r="150" spans="2:64" ht="15" x14ac:dyDescent="0.4">
      <c r="B150" t="s">
        <v>240</v>
      </c>
      <c r="C150" s="26">
        <v>53406</v>
      </c>
      <c r="D150" t="s">
        <v>231</v>
      </c>
      <c r="E150" t="s">
        <v>231</v>
      </c>
      <c r="F150" t="s">
        <v>32</v>
      </c>
      <c r="G150" t="s">
        <v>33</v>
      </c>
      <c r="H150" t="s">
        <v>34</v>
      </c>
      <c r="J150" s="27">
        <v>3384.16213604517</v>
      </c>
      <c r="K150" s="27">
        <v>2618.6141648179778</v>
      </c>
      <c r="L150" s="27">
        <v>3418.212227352401</v>
      </c>
      <c r="M150" s="27">
        <v>3979.2604461203964</v>
      </c>
      <c r="N150" s="28">
        <f t="shared" si="27"/>
        <v>13400.248974335944</v>
      </c>
      <c r="O150" s="27">
        <v>3493.850575730959</v>
      </c>
      <c r="P150" s="27">
        <v>6475.1073569640839</v>
      </c>
      <c r="Q150" s="27">
        <v>2937.7773939912131</v>
      </c>
      <c r="R150" s="27">
        <v>2434.1411584390517</v>
      </c>
      <c r="S150" s="27">
        <v>1030.421218941452</v>
      </c>
      <c r="T150" s="27">
        <v>1066.5463496422378</v>
      </c>
      <c r="U150" s="27">
        <v>968.76805171279671</v>
      </c>
      <c r="V150" s="27">
        <v>898.52367963467566</v>
      </c>
      <c r="W150" s="27">
        <v>1470.448721306369</v>
      </c>
      <c r="X150" s="27">
        <v>1137.8112795597881</v>
      </c>
      <c r="Y150" s="27">
        <v>1485.2437905761867</v>
      </c>
      <c r="Z150" s="27">
        <v>1729.0242605162962</v>
      </c>
      <c r="AA150" s="28">
        <f t="shared" si="28"/>
        <v>25127.663837015109</v>
      </c>
      <c r="AB150" s="29"/>
      <c r="AC150" s="27">
        <v>51325.689093493558</v>
      </c>
      <c r="AD150" s="27">
        <v>39715.052375218671</v>
      </c>
      <c r="AE150" s="27">
        <v>51842.107731189892</v>
      </c>
      <c r="AF150" s="27">
        <v>60351.211398603591</v>
      </c>
      <c r="AG150" s="28">
        <f t="shared" si="29"/>
        <v>203234.06059850572</v>
      </c>
      <c r="AH150" s="27">
        <v>52441.55720586473</v>
      </c>
      <c r="AI150" s="27">
        <v>97189.248799887864</v>
      </c>
      <c r="AJ150" s="27">
        <v>44095.080177507218</v>
      </c>
      <c r="AK150" s="27">
        <v>36535.664602864519</v>
      </c>
      <c r="AL150" s="27">
        <v>16077.231216349528</v>
      </c>
      <c r="AM150" s="27">
        <v>16648.853235974118</v>
      </c>
      <c r="AN150" s="27">
        <v>15122.528072106015</v>
      </c>
      <c r="AO150" s="27">
        <v>14026.009161536316</v>
      </c>
      <c r="AP150" s="27">
        <v>22953.793766457085</v>
      </c>
      <c r="AQ150" s="27">
        <v>17761.303116344785</v>
      </c>
      <c r="AR150" s="27">
        <v>23184.7456955241</v>
      </c>
      <c r="AS150" s="27">
        <v>26990.173623894138</v>
      </c>
      <c r="AT150" s="28">
        <f t="shared" si="30"/>
        <v>383026.18867431034</v>
      </c>
      <c r="AU150" s="30">
        <f t="shared" si="32"/>
        <v>15.1664391451038</v>
      </c>
      <c r="AV150" s="30">
        <f t="shared" si="32"/>
        <v>15.1664391451038</v>
      </c>
      <c r="AW150" s="30">
        <f t="shared" si="31"/>
        <v>15.166439145103796</v>
      </c>
      <c r="AX150" s="30">
        <f t="shared" si="31"/>
        <v>15.1664391451038</v>
      </c>
      <c r="AY150" s="31">
        <f t="shared" si="31"/>
        <v>15.166439145103801</v>
      </c>
      <c r="AZ150" s="30">
        <f t="shared" si="31"/>
        <v>15.00967373079293</v>
      </c>
      <c r="BA150" s="30">
        <f t="shared" si="31"/>
        <v>15.009673730792931</v>
      </c>
      <c r="BB150" s="30">
        <f t="shared" si="31"/>
        <v>15.009673730792928</v>
      </c>
      <c r="BC150" s="30">
        <f t="shared" si="31"/>
        <v>15.009673730792937</v>
      </c>
      <c r="BD150" s="30">
        <f t="shared" si="31"/>
        <v>15.602581663511947</v>
      </c>
      <c r="BE150" s="30">
        <f t="shared" si="31"/>
        <v>15.610060680024649</v>
      </c>
      <c r="BF150" s="30">
        <f t="shared" si="25"/>
        <v>15.610060680024651</v>
      </c>
      <c r="BG150" s="30">
        <f t="shared" si="25"/>
        <v>15.610060680024651</v>
      </c>
      <c r="BH150" s="30">
        <f t="shared" si="25"/>
        <v>15.610060680024658</v>
      </c>
      <c r="BI150" s="30">
        <f t="shared" si="25"/>
        <v>15.610060680024652</v>
      </c>
      <c r="BJ150" s="30">
        <f t="shared" si="25"/>
        <v>15.610060680024651</v>
      </c>
      <c r="BK150" s="30">
        <f t="shared" si="24"/>
        <v>15.610060680024652</v>
      </c>
      <c r="BL150" s="31">
        <f t="shared" si="24"/>
        <v>15.243207293711139</v>
      </c>
    </row>
    <row r="151" spans="2:64" ht="15" x14ac:dyDescent="0.4">
      <c r="B151" t="s">
        <v>241</v>
      </c>
      <c r="C151" s="26">
        <v>61011</v>
      </c>
      <c r="D151" t="s">
        <v>242</v>
      </c>
      <c r="E151" t="s">
        <v>243</v>
      </c>
      <c r="F151" t="s">
        <v>244</v>
      </c>
      <c r="G151" t="s">
        <v>33</v>
      </c>
      <c r="H151" t="s">
        <v>34</v>
      </c>
      <c r="J151" s="27">
        <v>1006.9636659285167</v>
      </c>
      <c r="K151" s="27">
        <v>841.02518671722692</v>
      </c>
      <c r="L151" s="27">
        <v>1367.1886349456888</v>
      </c>
      <c r="M151" s="27">
        <v>609.48222778374554</v>
      </c>
      <c r="N151" s="28">
        <f t="shared" si="27"/>
        <v>3824.6597153751782</v>
      </c>
      <c r="O151" s="27">
        <v>816.19630077499608</v>
      </c>
      <c r="P151" s="27">
        <v>998.66706384844315</v>
      </c>
      <c r="Q151" s="27">
        <v>1472.026097017666</v>
      </c>
      <c r="R151" s="27">
        <v>943.54787894675928</v>
      </c>
      <c r="S151" s="27">
        <v>976.38144447255831</v>
      </c>
      <c r="T151" s="27">
        <v>865.03314636043126</v>
      </c>
      <c r="U151" s="27">
        <v>1079.4596885194157</v>
      </c>
      <c r="V151" s="27">
        <v>1257.7954245602268</v>
      </c>
      <c r="W151" s="27">
        <v>1138.9823144891857</v>
      </c>
      <c r="X151" s="27">
        <v>951.28835937451629</v>
      </c>
      <c r="Y151" s="27">
        <v>1546.4348203049221</v>
      </c>
      <c r="Z151" s="27">
        <v>689.38880510752733</v>
      </c>
      <c r="AA151" s="28">
        <f t="shared" si="28"/>
        <v>12735.201343776647</v>
      </c>
      <c r="AB151" s="29"/>
      <c r="AC151" s="27">
        <v>37172.785854523645</v>
      </c>
      <c r="AD151" s="27">
        <v>31047.047894496318</v>
      </c>
      <c r="AE151" s="27">
        <v>50470.748914968688</v>
      </c>
      <c r="AF151" s="27">
        <v>22499.473518393574</v>
      </c>
      <c r="AG151" s="28">
        <f t="shared" si="29"/>
        <v>141190.05618238222</v>
      </c>
      <c r="AH151" s="27">
        <v>29895.646620447129</v>
      </c>
      <c r="AI151" s="27">
        <v>36579.187634082424</v>
      </c>
      <c r="AJ151" s="27">
        <v>53917.387239724543</v>
      </c>
      <c r="AK151" s="27">
        <v>34560.281554425885</v>
      </c>
      <c r="AL151" s="27">
        <v>37190.76531160489</v>
      </c>
      <c r="AM151" s="27">
        <v>32951.820834485559</v>
      </c>
      <c r="AN151" s="27">
        <v>41119.999162807166</v>
      </c>
      <c r="AO151" s="27">
        <v>47913.365691162602</v>
      </c>
      <c r="AP151" s="27">
        <v>43387.402342449866</v>
      </c>
      <c r="AQ151" s="27">
        <v>36237.551950384615</v>
      </c>
      <c r="AR151" s="27">
        <v>58908.543961927186</v>
      </c>
      <c r="AS151" s="27">
        <v>26260.977959956756</v>
      </c>
      <c r="AT151" s="28">
        <f t="shared" si="30"/>
        <v>478922.93026345863</v>
      </c>
      <c r="AU151" s="30">
        <f t="shared" si="32"/>
        <v>36.915717132898521</v>
      </c>
      <c r="AV151" s="30">
        <f t="shared" si="32"/>
        <v>36.915717132898529</v>
      </c>
      <c r="AW151" s="30">
        <f t="shared" si="31"/>
        <v>36.915717132898507</v>
      </c>
      <c r="AX151" s="30">
        <f t="shared" si="31"/>
        <v>36.915717132898521</v>
      </c>
      <c r="AY151" s="31">
        <f t="shared" si="31"/>
        <v>36.915717132898514</v>
      </c>
      <c r="AZ151" s="30">
        <f t="shared" si="31"/>
        <v>36.628010433348649</v>
      </c>
      <c r="BA151" s="30">
        <f t="shared" si="31"/>
        <v>36.628010433348635</v>
      </c>
      <c r="BB151" s="30">
        <f t="shared" si="31"/>
        <v>36.628010433348635</v>
      </c>
      <c r="BC151" s="30">
        <f t="shared" si="31"/>
        <v>36.628010433348649</v>
      </c>
      <c r="BD151" s="30">
        <f t="shared" si="31"/>
        <v>38.090405673056758</v>
      </c>
      <c r="BE151" s="30">
        <f t="shared" si="31"/>
        <v>38.093130850682577</v>
      </c>
      <c r="BF151" s="30">
        <f t="shared" si="25"/>
        <v>38.093130850682584</v>
      </c>
      <c r="BG151" s="30">
        <f t="shared" si="25"/>
        <v>38.093130850682606</v>
      </c>
      <c r="BH151" s="30">
        <f t="shared" si="25"/>
        <v>38.093130850682599</v>
      </c>
      <c r="BI151" s="30">
        <f t="shared" si="25"/>
        <v>38.093130850682591</v>
      </c>
      <c r="BJ151" s="30">
        <f t="shared" si="25"/>
        <v>38.09313085068257</v>
      </c>
      <c r="BK151" s="30">
        <f t="shared" si="24"/>
        <v>38.093130850682591</v>
      </c>
      <c r="BL151" s="31">
        <f t="shared" si="24"/>
        <v>37.606231525934646</v>
      </c>
    </row>
    <row r="152" spans="2:64" ht="15" x14ac:dyDescent="0.4">
      <c r="B152" t="s">
        <v>245</v>
      </c>
      <c r="C152" s="26">
        <v>53745</v>
      </c>
      <c r="D152" t="s">
        <v>242</v>
      </c>
      <c r="E152" t="s">
        <v>246</v>
      </c>
      <c r="F152" t="s">
        <v>244</v>
      </c>
      <c r="G152" t="s">
        <v>33</v>
      </c>
      <c r="H152" t="s">
        <v>34</v>
      </c>
      <c r="J152" s="27">
        <v>47385.348870488597</v>
      </c>
      <c r="K152" s="27">
        <v>39576.67315107739</v>
      </c>
      <c r="L152" s="27">
        <v>64336.691214107268</v>
      </c>
      <c r="M152" s="27">
        <v>28680.804453122659</v>
      </c>
      <c r="N152" s="28">
        <f t="shared" si="27"/>
        <v>179979.51768879592</v>
      </c>
      <c r="O152" s="27">
        <v>37917.383509197032</v>
      </c>
      <c r="P152" s="27">
        <v>46394.282872869946</v>
      </c>
      <c r="Q152" s="27">
        <v>68384.747643633484</v>
      </c>
      <c r="R152" s="27">
        <v>43833.654662907356</v>
      </c>
      <c r="S152" s="27">
        <v>45358.977547652146</v>
      </c>
      <c r="T152" s="27">
        <v>40186.158069537509</v>
      </c>
      <c r="U152" s="27">
        <v>50147.601690236603</v>
      </c>
      <c r="V152" s="27">
        <v>58432.40338614447</v>
      </c>
      <c r="W152" s="27">
        <v>52912.797065696213</v>
      </c>
      <c r="X152" s="27">
        <v>44193.24801642543</v>
      </c>
      <c r="Y152" s="27">
        <v>71841.494623047183</v>
      </c>
      <c r="Z152" s="27">
        <v>32026.388364403101</v>
      </c>
      <c r="AA152" s="28">
        <f t="shared" si="28"/>
        <v>591629.13745175046</v>
      </c>
      <c r="AB152" s="29"/>
      <c r="AC152" s="27">
        <v>542413.78440777853</v>
      </c>
      <c r="AD152" s="27">
        <v>453028.91230827576</v>
      </c>
      <c r="AE152" s="27">
        <v>736453.54502079962</v>
      </c>
      <c r="AF152" s="27">
        <v>328305.35290131654</v>
      </c>
      <c r="AG152" s="28">
        <f t="shared" si="29"/>
        <v>2060201.5946381704</v>
      </c>
      <c r="AH152" s="27">
        <v>451216.95039819658</v>
      </c>
      <c r="AI152" s="27">
        <v>552092.07219506672</v>
      </c>
      <c r="AJ152" s="27">
        <v>813778.65321393416</v>
      </c>
      <c r="AK152" s="27">
        <v>521620.59064564464</v>
      </c>
      <c r="AL152" s="27">
        <v>555316.89137912355</v>
      </c>
      <c r="AM152" s="27">
        <v>497343.98776426178</v>
      </c>
      <c r="AN152" s="27">
        <v>620626.83768573229</v>
      </c>
      <c r="AO152" s="27">
        <v>723159.5631617296</v>
      </c>
      <c r="AP152" s="27">
        <v>654848.90222344396</v>
      </c>
      <c r="AQ152" s="27">
        <v>546935.74246912298</v>
      </c>
      <c r="AR152" s="27">
        <v>889110.50817409437</v>
      </c>
      <c r="AS152" s="27">
        <v>396358.65850319288</v>
      </c>
      <c r="AT152" s="28">
        <f t="shared" si="30"/>
        <v>7222409.3578135427</v>
      </c>
      <c r="AU152" s="30">
        <f t="shared" si="32"/>
        <v>11.446866960719827</v>
      </c>
      <c r="AV152" s="30">
        <f t="shared" si="32"/>
        <v>11.446866960719841</v>
      </c>
      <c r="AW152" s="30">
        <f t="shared" si="31"/>
        <v>11.446866960719852</v>
      </c>
      <c r="AX152" s="30">
        <f t="shared" si="31"/>
        <v>11.44686696071985</v>
      </c>
      <c r="AY152" s="31">
        <f t="shared" si="31"/>
        <v>11.446866960719841</v>
      </c>
      <c r="AZ152" s="30">
        <f t="shared" si="31"/>
        <v>11.900002284934875</v>
      </c>
      <c r="BA152" s="30">
        <f t="shared" si="31"/>
        <v>11.900002284934862</v>
      </c>
      <c r="BB152" s="30">
        <f t="shared" si="31"/>
        <v>11.900002284934889</v>
      </c>
      <c r="BC152" s="30">
        <f t="shared" si="31"/>
        <v>11.900002284934894</v>
      </c>
      <c r="BD152" s="30">
        <f t="shared" si="31"/>
        <v>12.242711837931799</v>
      </c>
      <c r="BE152" s="30">
        <f t="shared" si="31"/>
        <v>12.376002376332304</v>
      </c>
      <c r="BF152" s="30">
        <f t="shared" si="25"/>
        <v>12.376002376332268</v>
      </c>
      <c r="BG152" s="30">
        <f t="shared" si="25"/>
        <v>12.376002376332268</v>
      </c>
      <c r="BH152" s="30">
        <f t="shared" si="25"/>
        <v>12.376002376332279</v>
      </c>
      <c r="BI152" s="30">
        <f t="shared" si="25"/>
        <v>12.376002376332281</v>
      </c>
      <c r="BJ152" s="30">
        <f t="shared" si="25"/>
        <v>12.376002376332275</v>
      </c>
      <c r="BK152" s="30">
        <f t="shared" si="24"/>
        <v>12.376002376332268</v>
      </c>
      <c r="BL152" s="31">
        <f t="shared" si="24"/>
        <v>12.207663383385267</v>
      </c>
    </row>
    <row r="153" spans="2:64" ht="15" x14ac:dyDescent="0.4">
      <c r="B153" t="s">
        <v>247</v>
      </c>
      <c r="C153" s="26">
        <v>53742</v>
      </c>
      <c r="D153" t="s">
        <v>242</v>
      </c>
      <c r="E153" t="s">
        <v>246</v>
      </c>
      <c r="F153" t="s">
        <v>244</v>
      </c>
      <c r="G153" t="s">
        <v>33</v>
      </c>
      <c r="H153" t="s">
        <v>34</v>
      </c>
      <c r="J153" s="27">
        <v>19679.676707513619</v>
      </c>
      <c r="K153" s="27">
        <v>16436.644476352179</v>
      </c>
      <c r="L153" s="27">
        <v>26719.76283186768</v>
      </c>
      <c r="M153" s="27">
        <v>11911.465733671021</v>
      </c>
      <c r="N153" s="28">
        <f t="shared" si="27"/>
        <v>74747.549749404498</v>
      </c>
      <c r="O153" s="27">
        <v>15505.608859190863</v>
      </c>
      <c r="P153" s="27">
        <v>18972.079214139056</v>
      </c>
      <c r="Q153" s="27">
        <v>27964.670838626349</v>
      </c>
      <c r="R153" s="27">
        <v>17924.957926145758</v>
      </c>
      <c r="S153" s="27">
        <v>18548.710354345003</v>
      </c>
      <c r="T153" s="27">
        <v>16433.382024599036</v>
      </c>
      <c r="U153" s="27">
        <v>20506.929146276776</v>
      </c>
      <c r="V153" s="27">
        <v>23894.844732317895</v>
      </c>
      <c r="W153" s="27">
        <v>21637.704372386972</v>
      </c>
      <c r="X153" s="27">
        <v>18072.006940924497</v>
      </c>
      <c r="Y153" s="27">
        <v>29378.243232802168</v>
      </c>
      <c r="Z153" s="27">
        <v>13096.595946039522</v>
      </c>
      <c r="AA153" s="28">
        <f t="shared" si="28"/>
        <v>241935.73358779389</v>
      </c>
      <c r="AB153" s="29"/>
      <c r="AC153" s="27">
        <v>317727.73723242397</v>
      </c>
      <c r="AD153" s="27">
        <v>265369.08785556018</v>
      </c>
      <c r="AE153" s="27">
        <v>431389.69761200633</v>
      </c>
      <c r="AF153" s="27">
        <v>192310.22495587572</v>
      </c>
      <c r="AG153" s="28">
        <f t="shared" si="29"/>
        <v>1206796.7476558662</v>
      </c>
      <c r="AH153" s="27">
        <v>265297.00595495052</v>
      </c>
      <c r="AI153" s="27">
        <v>324607.42805774021</v>
      </c>
      <c r="AJ153" s="27">
        <v>478468.37317876489</v>
      </c>
      <c r="AK153" s="27">
        <v>306691.45035579614</v>
      </c>
      <c r="AL153" s="27">
        <v>325944.92145202763</v>
      </c>
      <c r="AM153" s="27">
        <v>292417.80648336496</v>
      </c>
      <c r="AN153" s="27">
        <v>364903.05097805063</v>
      </c>
      <c r="AO153" s="27">
        <v>425188.07585838303</v>
      </c>
      <c r="AP153" s="27">
        <v>385024.21719629603</v>
      </c>
      <c r="AQ153" s="27">
        <v>321575.71828530735</v>
      </c>
      <c r="AR153" s="27">
        <v>522760.40510780975</v>
      </c>
      <c r="AS153" s="27">
        <v>233042.58692502798</v>
      </c>
      <c r="AT153" s="28">
        <f t="shared" si="30"/>
        <v>4245921.0398335196</v>
      </c>
      <c r="AU153" s="30">
        <f t="shared" si="32"/>
        <v>16.144967316008643</v>
      </c>
      <c r="AV153" s="30">
        <f t="shared" si="32"/>
        <v>16.144967316008657</v>
      </c>
      <c r="AW153" s="30">
        <f t="shared" si="31"/>
        <v>16.144967316008646</v>
      </c>
      <c r="AX153" s="30">
        <f t="shared" si="31"/>
        <v>16.144967316008657</v>
      </c>
      <c r="AY153" s="31">
        <f t="shared" si="31"/>
        <v>16.14496731600865</v>
      </c>
      <c r="AZ153" s="30">
        <f t="shared" si="31"/>
        <v>17.109744503692752</v>
      </c>
      <c r="BA153" s="30">
        <f t="shared" si="31"/>
        <v>17.109744503692806</v>
      </c>
      <c r="BB153" s="30">
        <f t="shared" si="31"/>
        <v>17.109744503692777</v>
      </c>
      <c r="BC153" s="30">
        <f t="shared" si="31"/>
        <v>17.109744503692749</v>
      </c>
      <c r="BD153" s="30">
        <f t="shared" si="31"/>
        <v>17.572376473908097</v>
      </c>
      <c r="BE153" s="30">
        <f t="shared" si="31"/>
        <v>17.794134283840442</v>
      </c>
      <c r="BF153" s="30">
        <f t="shared" si="25"/>
        <v>17.794134283840453</v>
      </c>
      <c r="BG153" s="30">
        <f t="shared" si="25"/>
        <v>17.794134283840481</v>
      </c>
      <c r="BH153" s="30">
        <f t="shared" si="25"/>
        <v>17.794134283840478</v>
      </c>
      <c r="BI153" s="30">
        <f t="shared" si="25"/>
        <v>17.79413428384046</v>
      </c>
      <c r="BJ153" s="30">
        <f t="shared" si="25"/>
        <v>17.794134283840485</v>
      </c>
      <c r="BK153" s="30">
        <f t="shared" si="24"/>
        <v>17.794134283840471</v>
      </c>
      <c r="BL153" s="31">
        <f t="shared" si="24"/>
        <v>17.549788850404585</v>
      </c>
    </row>
    <row r="154" spans="2:64" ht="15" x14ac:dyDescent="0.4">
      <c r="B154" t="s">
        <v>248</v>
      </c>
      <c r="C154" s="26">
        <v>53918</v>
      </c>
      <c r="D154" t="s">
        <v>249</v>
      </c>
      <c r="E154" t="s">
        <v>249</v>
      </c>
      <c r="F154" t="s">
        <v>60</v>
      </c>
      <c r="G154" t="s">
        <v>33</v>
      </c>
      <c r="H154" t="s">
        <v>34</v>
      </c>
      <c r="J154" s="27">
        <v>643.01996256900497</v>
      </c>
      <c r="K154" s="27">
        <v>968.70289688535513</v>
      </c>
      <c r="L154" s="27">
        <v>967.93250555639838</v>
      </c>
      <c r="M154" s="27">
        <v>778.35203935569245</v>
      </c>
      <c r="N154" s="28">
        <f t="shared" si="27"/>
        <v>3358.0074043664508</v>
      </c>
      <c r="O154" s="27">
        <v>491.52316399378839</v>
      </c>
      <c r="P154" s="27">
        <v>533.96803308458925</v>
      </c>
      <c r="Q154" s="27">
        <v>714.57028299350679</v>
      </c>
      <c r="R154" s="27">
        <v>599.35005598626401</v>
      </c>
      <c r="S154" s="27">
        <v>438.65636482193014</v>
      </c>
      <c r="T154" s="27">
        <v>677.7372224078905</v>
      </c>
      <c r="U154" s="27">
        <v>538.82269282320158</v>
      </c>
      <c r="V154" s="27">
        <v>669.94304392846732</v>
      </c>
      <c r="W154" s="27">
        <v>446.09423799943676</v>
      </c>
      <c r="X154" s="27">
        <v>672.0363375772265</v>
      </c>
      <c r="Y154" s="27">
        <v>671.50187962435177</v>
      </c>
      <c r="Z154" s="27">
        <v>539.98068505442996</v>
      </c>
      <c r="AA154" s="28">
        <f t="shared" si="28"/>
        <v>6994.1840002950839</v>
      </c>
      <c r="AB154" s="29"/>
      <c r="AC154" s="27">
        <v>18175.898994482013</v>
      </c>
      <c r="AD154" s="27">
        <v>27381.803107801436</v>
      </c>
      <c r="AE154" s="27">
        <v>27360.026870986952</v>
      </c>
      <c r="AF154" s="27">
        <v>22001.257928224833</v>
      </c>
      <c r="AG154" s="28">
        <f t="shared" si="29"/>
        <v>94918.986901495242</v>
      </c>
      <c r="AH154" s="27">
        <v>14241.394685984926</v>
      </c>
      <c r="AI154" s="27">
        <v>15471.192541706529</v>
      </c>
      <c r="AJ154" s="27">
        <v>20703.963061067607</v>
      </c>
      <c r="AK154" s="27">
        <v>17365.57161012134</v>
      </c>
      <c r="AL154" s="27">
        <v>13218.017045374785</v>
      </c>
      <c r="AM154" s="27">
        <v>20422.232244843955</v>
      </c>
      <c r="AN154" s="27">
        <v>16236.325537104698</v>
      </c>
      <c r="AO154" s="27">
        <v>20187.370534727139</v>
      </c>
      <c r="AP154" s="27">
        <v>13442.142220171983</v>
      </c>
      <c r="AQ154" s="27">
        <v>20250.447679729932</v>
      </c>
      <c r="AR154" s="27">
        <v>20234.342876750492</v>
      </c>
      <c r="AS154" s="27">
        <v>16271.21927689348</v>
      </c>
      <c r="AT154" s="28">
        <f t="shared" si="30"/>
        <v>208044.21931447685</v>
      </c>
      <c r="AU154" s="30">
        <f t="shared" si="32"/>
        <v>28.266461467020921</v>
      </c>
      <c r="AV154" s="30">
        <f t="shared" si="32"/>
        <v>28.266461467020925</v>
      </c>
      <c r="AW154" s="30">
        <f t="shared" si="31"/>
        <v>28.266461467020925</v>
      </c>
      <c r="AX154" s="30">
        <f t="shared" si="31"/>
        <v>28.266461467020921</v>
      </c>
      <c r="AY154" s="31">
        <f t="shared" si="31"/>
        <v>28.266461467020928</v>
      </c>
      <c r="AZ154" s="30">
        <f t="shared" si="31"/>
        <v>28.974005152206622</v>
      </c>
      <c r="BA154" s="30">
        <f t="shared" si="31"/>
        <v>28.97400515220663</v>
      </c>
      <c r="BB154" s="30">
        <f t="shared" si="31"/>
        <v>28.974005152206619</v>
      </c>
      <c r="BC154" s="30">
        <f t="shared" si="31"/>
        <v>28.974005152206622</v>
      </c>
      <c r="BD154" s="30">
        <f t="shared" si="31"/>
        <v>30.132965358294889</v>
      </c>
      <c r="BE154" s="30">
        <f t="shared" si="31"/>
        <v>30.132965358294879</v>
      </c>
      <c r="BF154" s="30">
        <f t="shared" si="25"/>
        <v>30.132965358294882</v>
      </c>
      <c r="BG154" s="30">
        <f t="shared" si="25"/>
        <v>30.132965358294893</v>
      </c>
      <c r="BH154" s="30">
        <f t="shared" si="25"/>
        <v>30.132965358294889</v>
      </c>
      <c r="BI154" s="30">
        <f t="shared" si="25"/>
        <v>30.132965358294882</v>
      </c>
      <c r="BJ154" s="30">
        <f t="shared" si="25"/>
        <v>30.132965358294882</v>
      </c>
      <c r="BK154" s="30">
        <f t="shared" si="24"/>
        <v>30.132965358294889</v>
      </c>
      <c r="BL154" s="31">
        <f t="shared" si="24"/>
        <v>29.745316866942517</v>
      </c>
    </row>
    <row r="155" spans="2:64" ht="15" x14ac:dyDescent="0.4">
      <c r="B155" t="s">
        <v>250</v>
      </c>
      <c r="C155" s="26">
        <v>60811</v>
      </c>
      <c r="D155" t="s">
        <v>249</v>
      </c>
      <c r="E155" t="s">
        <v>249</v>
      </c>
      <c r="F155" t="s">
        <v>60</v>
      </c>
      <c r="G155" t="s">
        <v>33</v>
      </c>
      <c r="H155" t="s">
        <v>34</v>
      </c>
      <c r="J155" s="27">
        <v>1781.1974222049741</v>
      </c>
      <c r="K155" s="27">
        <v>2683.3554216903817</v>
      </c>
      <c r="L155" s="27">
        <v>2681.221399219688</v>
      </c>
      <c r="M155" s="27">
        <v>2156.0740362233532</v>
      </c>
      <c r="N155" s="28">
        <f t="shared" si="27"/>
        <v>9301.8482793383973</v>
      </c>
      <c r="O155" s="27">
        <v>2230.7813628639915</v>
      </c>
      <c r="P155" s="27">
        <v>2423.4177020094594</v>
      </c>
      <c r="Q155" s="27">
        <v>3243.0822930219183</v>
      </c>
      <c r="R155" s="27">
        <v>2720.1544762650187</v>
      </c>
      <c r="S155" s="27">
        <v>1990.8450201927749</v>
      </c>
      <c r="T155" s="27">
        <v>3075.9151865441618</v>
      </c>
      <c r="U155" s="27">
        <v>2445.4506096347013</v>
      </c>
      <c r="V155" s="27">
        <v>3040.5412522834513</v>
      </c>
      <c r="W155" s="27">
        <v>2024.601860315852</v>
      </c>
      <c r="X155" s="27">
        <v>3050.0416803420426</v>
      </c>
      <c r="Y155" s="27">
        <v>3047.6160391355929</v>
      </c>
      <c r="Z155" s="27">
        <v>2450.706165582008</v>
      </c>
      <c r="AA155" s="28">
        <f t="shared" si="28"/>
        <v>31743.153648190972</v>
      </c>
      <c r="AB155" s="29"/>
      <c r="AC155" s="27">
        <v>61753.973963611948</v>
      </c>
      <c r="AD155" s="27">
        <v>93031.720560796792</v>
      </c>
      <c r="AE155" s="27">
        <v>92957.734170265307</v>
      </c>
      <c r="AF155" s="27">
        <v>74750.916566975968</v>
      </c>
      <c r="AG155" s="28">
        <f t="shared" si="29"/>
        <v>322494.34526165004</v>
      </c>
      <c r="AH155" s="27">
        <v>77351.888753847481</v>
      </c>
      <c r="AI155" s="27">
        <v>84031.514522460799</v>
      </c>
      <c r="AJ155" s="27">
        <v>112453.21703214293</v>
      </c>
      <c r="AK155" s="27">
        <v>94320.801645571366</v>
      </c>
      <c r="AL155" s="27">
        <v>71786.340131335659</v>
      </c>
      <c r="AM155" s="27">
        <v>110923.00097988307</v>
      </c>
      <c r="AN155" s="27">
        <v>88187.321144419097</v>
      </c>
      <c r="AO155" s="27">
        <v>109647.35366625487</v>
      </c>
      <c r="AP155" s="27">
        <v>73010.762818854477</v>
      </c>
      <c r="AQ155" s="27">
        <v>109989.95608762935</v>
      </c>
      <c r="AR155" s="27">
        <v>109902.48312898054</v>
      </c>
      <c r="AS155" s="27">
        <v>88376.845888158088</v>
      </c>
      <c r="AT155" s="28">
        <f t="shared" si="30"/>
        <v>1129981.4857995377</v>
      </c>
      <c r="AU155" s="30">
        <f t="shared" si="32"/>
        <v>34.669921028274153</v>
      </c>
      <c r="AV155" s="30">
        <f t="shared" si="32"/>
        <v>34.669921028274139</v>
      </c>
      <c r="AW155" s="30">
        <f t="shared" si="31"/>
        <v>34.669921028274153</v>
      </c>
      <c r="AX155" s="30">
        <f t="shared" si="31"/>
        <v>34.669921028274153</v>
      </c>
      <c r="AY155" s="31">
        <f t="shared" si="31"/>
        <v>34.669921028274153</v>
      </c>
      <c r="AZ155" s="30">
        <f t="shared" si="31"/>
        <v>34.674796034040362</v>
      </c>
      <c r="BA155" s="30">
        <f t="shared" si="31"/>
        <v>34.674796034040355</v>
      </c>
      <c r="BB155" s="30">
        <f t="shared" si="31"/>
        <v>34.674796034040362</v>
      </c>
      <c r="BC155" s="30">
        <f t="shared" si="31"/>
        <v>34.674796034040348</v>
      </c>
      <c r="BD155" s="30">
        <f t="shared" si="31"/>
        <v>36.058226232187849</v>
      </c>
      <c r="BE155" s="30">
        <f t="shared" si="31"/>
        <v>36.061787875401983</v>
      </c>
      <c r="BF155" s="30">
        <f t="shared" si="25"/>
        <v>36.061787875401997</v>
      </c>
      <c r="BG155" s="30">
        <f t="shared" si="25"/>
        <v>36.061787875401969</v>
      </c>
      <c r="BH155" s="30">
        <f t="shared" si="25"/>
        <v>36.061787875401976</v>
      </c>
      <c r="BI155" s="30">
        <f t="shared" si="25"/>
        <v>36.061787875401983</v>
      </c>
      <c r="BJ155" s="30">
        <f t="shared" si="25"/>
        <v>36.061787875401983</v>
      </c>
      <c r="BK155" s="30">
        <f t="shared" si="24"/>
        <v>36.061787875401961</v>
      </c>
      <c r="BL155" s="31">
        <f t="shared" si="24"/>
        <v>35.597644088016906</v>
      </c>
    </row>
    <row r="156" spans="2:64" ht="15" x14ac:dyDescent="0.4">
      <c r="B156" t="s">
        <v>251</v>
      </c>
      <c r="C156" s="26">
        <v>60823</v>
      </c>
      <c r="D156" t="s">
        <v>249</v>
      </c>
      <c r="E156" t="s">
        <v>249</v>
      </c>
      <c r="F156" t="s">
        <v>60</v>
      </c>
      <c r="G156" t="s">
        <v>33</v>
      </c>
      <c r="H156" t="s">
        <v>34</v>
      </c>
      <c r="J156" s="27">
        <v>2583.9975409233725</v>
      </c>
      <c r="K156" s="27">
        <v>3892.7654647556674</v>
      </c>
      <c r="L156" s="27">
        <v>3889.6696210564783</v>
      </c>
      <c r="M156" s="27">
        <v>3127.8340840809665</v>
      </c>
      <c r="N156" s="28">
        <f t="shared" si="27"/>
        <v>13494.266710816486</v>
      </c>
      <c r="O156" s="27">
        <v>3357.0292614766709</v>
      </c>
      <c r="P156" s="27">
        <v>3646.921331627746</v>
      </c>
      <c r="Q156" s="27">
        <v>4880.4075272863074</v>
      </c>
      <c r="R156" s="27">
        <v>4093.4707114617208</v>
      </c>
      <c r="S156" s="27">
        <v>2995.956976828898</v>
      </c>
      <c r="T156" s="27">
        <v>4628.843264941147</v>
      </c>
      <c r="U156" s="27">
        <v>3680.0779272693685</v>
      </c>
      <c r="V156" s="27">
        <v>4575.6101985440437</v>
      </c>
      <c r="W156" s="27">
        <v>3046.7565316192745</v>
      </c>
      <c r="X156" s="27">
        <v>4589.9070792335524</v>
      </c>
      <c r="Y156" s="27">
        <v>4586.256811823464</v>
      </c>
      <c r="Z156" s="27">
        <v>3687.9868399912234</v>
      </c>
      <c r="AA156" s="28">
        <f t="shared" si="28"/>
        <v>47769.224462103419</v>
      </c>
      <c r="AB156" s="29"/>
      <c r="AC156" s="27">
        <v>101802.22430385102</v>
      </c>
      <c r="AD156" s="27">
        <v>153363.99386190172</v>
      </c>
      <c r="AE156" s="27">
        <v>153242.02634077094</v>
      </c>
      <c r="AF156" s="27">
        <v>123227.85218249696</v>
      </c>
      <c r="AG156" s="28">
        <f t="shared" si="29"/>
        <v>531636.09668902063</v>
      </c>
      <c r="AH156" s="27">
        <v>132199.60426176357</v>
      </c>
      <c r="AI156" s="27">
        <v>143615.53601796695</v>
      </c>
      <c r="AJ156" s="27">
        <v>192190.14595648198</v>
      </c>
      <c r="AK156" s="27">
        <v>161200.62292049229</v>
      </c>
      <c r="AL156" s="27">
        <v>122616.88290071936</v>
      </c>
      <c r="AM156" s="27">
        <v>189574.90333212272</v>
      </c>
      <c r="AN156" s="27">
        <v>150718.09032739839</v>
      </c>
      <c r="AO156" s="27">
        <v>187394.73588235458</v>
      </c>
      <c r="AP156" s="27">
        <v>124780.32672501425</v>
      </c>
      <c r="AQ156" s="27">
        <v>187980.26656886376</v>
      </c>
      <c r="AR156" s="27">
        <v>187830.76937230822</v>
      </c>
      <c r="AS156" s="27">
        <v>151042.00091993541</v>
      </c>
      <c r="AT156" s="28">
        <f t="shared" si="30"/>
        <v>1931143.8851854214</v>
      </c>
      <c r="AU156" s="30">
        <f t="shared" si="32"/>
        <v>39.397183120953258</v>
      </c>
      <c r="AV156" s="30">
        <f t="shared" si="32"/>
        <v>39.397183120953251</v>
      </c>
      <c r="AW156" s="30">
        <f t="shared" si="31"/>
        <v>39.397183120953258</v>
      </c>
      <c r="AX156" s="30">
        <f t="shared" si="31"/>
        <v>39.397183120953265</v>
      </c>
      <c r="AY156" s="31">
        <f t="shared" si="31"/>
        <v>39.397183120953251</v>
      </c>
      <c r="AZ156" s="30">
        <f t="shared" si="31"/>
        <v>39.379938024017214</v>
      </c>
      <c r="BA156" s="30">
        <f t="shared" si="31"/>
        <v>39.379938024017207</v>
      </c>
      <c r="BB156" s="30">
        <f t="shared" si="31"/>
        <v>39.379938024017235</v>
      </c>
      <c r="BC156" s="30">
        <f t="shared" si="31"/>
        <v>39.379938024017228</v>
      </c>
      <c r="BD156" s="30">
        <f t="shared" si="31"/>
        <v>40.927451178055463</v>
      </c>
      <c r="BE156" s="30">
        <f t="shared" si="31"/>
        <v>40.9551355449779</v>
      </c>
      <c r="BF156" s="30">
        <f t="shared" si="25"/>
        <v>40.955135544977921</v>
      </c>
      <c r="BG156" s="30">
        <f t="shared" si="25"/>
        <v>40.955135544977907</v>
      </c>
      <c r="BH156" s="30">
        <f t="shared" si="25"/>
        <v>40.955135544977942</v>
      </c>
      <c r="BI156" s="30">
        <f t="shared" si="25"/>
        <v>40.9551355449779</v>
      </c>
      <c r="BJ156" s="30">
        <f t="shared" si="25"/>
        <v>40.955135544977914</v>
      </c>
      <c r="BK156" s="30">
        <f t="shared" si="24"/>
        <v>40.955135544977935</v>
      </c>
      <c r="BL156" s="31">
        <f t="shared" si="24"/>
        <v>40.42652789386289</v>
      </c>
    </row>
    <row r="157" spans="2:64" ht="15" x14ac:dyDescent="0.4">
      <c r="B157" t="s">
        <v>252</v>
      </c>
      <c r="C157" s="26">
        <v>53666</v>
      </c>
      <c r="D157" t="s">
        <v>253</v>
      </c>
      <c r="E157" t="s">
        <v>253</v>
      </c>
      <c r="F157" t="s">
        <v>133</v>
      </c>
      <c r="G157" t="s">
        <v>33</v>
      </c>
      <c r="H157" t="s">
        <v>34</v>
      </c>
      <c r="J157" s="27">
        <v>13011.124512347447</v>
      </c>
      <c r="K157" s="27">
        <v>20866.611608943662</v>
      </c>
      <c r="L157" s="27">
        <v>10475.154223894591</v>
      </c>
      <c r="M157" s="27">
        <v>9423.9694742077991</v>
      </c>
      <c r="N157" s="28">
        <f t="shared" si="27"/>
        <v>53776.859819393496</v>
      </c>
      <c r="O157" s="27">
        <v>16071.907613804087</v>
      </c>
      <c r="P157" s="27">
        <v>8404.0579360182892</v>
      </c>
      <c r="Q157" s="27">
        <v>38180.663764386351</v>
      </c>
      <c r="R157" s="27">
        <v>17416.474030547703</v>
      </c>
      <c r="S157" s="27">
        <v>28919.629430883131</v>
      </c>
      <c r="T157" s="27">
        <v>32161.963984242011</v>
      </c>
      <c r="U157" s="27">
        <v>25701.401160792422</v>
      </c>
      <c r="V157" s="27">
        <v>10190.921388073435</v>
      </c>
      <c r="W157" s="27">
        <v>9932.893413323156</v>
      </c>
      <c r="X157" s="27">
        <v>15929.893593144503</v>
      </c>
      <c r="Y157" s="27">
        <v>7996.8945263205806</v>
      </c>
      <c r="Z157" s="27">
        <v>7194.4038525559099</v>
      </c>
      <c r="AA157" s="28">
        <f t="shared" si="28"/>
        <v>218101.10469409157</v>
      </c>
      <c r="AB157" s="29"/>
      <c r="AC157" s="27">
        <v>108883.26191053065</v>
      </c>
      <c r="AD157" s="27">
        <v>174621.70428434541</v>
      </c>
      <c r="AE157" s="27">
        <v>87661.0595672286</v>
      </c>
      <c r="AF157" s="27">
        <v>78864.246939089862</v>
      </c>
      <c r="AG157" s="28">
        <f t="shared" si="29"/>
        <v>450030.27270119451</v>
      </c>
      <c r="AH157" s="27">
        <v>133443.18041984082</v>
      </c>
      <c r="AI157" s="27">
        <v>69777.915998699711</v>
      </c>
      <c r="AJ157" s="27">
        <v>317009.61240495555</v>
      </c>
      <c r="AK157" s="27">
        <v>144606.95906064578</v>
      </c>
      <c r="AL157" s="27">
        <v>248498.62091285465</v>
      </c>
      <c r="AM157" s="27">
        <v>277718.52977030567</v>
      </c>
      <c r="AN157" s="27">
        <v>221931.57566214839</v>
      </c>
      <c r="AO157" s="27">
        <v>87998.596922973957</v>
      </c>
      <c r="AP157" s="27">
        <v>85770.525595539802</v>
      </c>
      <c r="AQ157" s="27">
        <v>137554.61669732272</v>
      </c>
      <c r="AR157" s="27">
        <v>69053.176965999213</v>
      </c>
      <c r="AS157" s="27">
        <v>62123.670727465367</v>
      </c>
      <c r="AT157" s="28">
        <f t="shared" si="30"/>
        <v>1855486.9811387516</v>
      </c>
      <c r="AU157" s="30">
        <f t="shared" si="32"/>
        <v>8.3684743626272553</v>
      </c>
      <c r="AV157" s="30">
        <f t="shared" si="32"/>
        <v>8.3684743626272606</v>
      </c>
      <c r="AW157" s="30">
        <f t="shared" si="31"/>
        <v>8.368474362627266</v>
      </c>
      <c r="AX157" s="30">
        <f t="shared" si="31"/>
        <v>8.3684743626272589</v>
      </c>
      <c r="AY157" s="31">
        <f t="shared" si="31"/>
        <v>8.3684743626272606</v>
      </c>
      <c r="AZ157" s="30">
        <f t="shared" si="31"/>
        <v>8.3028837413940266</v>
      </c>
      <c r="BA157" s="30">
        <f t="shared" si="31"/>
        <v>8.3028837413940284</v>
      </c>
      <c r="BB157" s="30">
        <f t="shared" si="31"/>
        <v>8.3028837413940284</v>
      </c>
      <c r="BC157" s="30">
        <f t="shared" si="31"/>
        <v>8.3028837413940249</v>
      </c>
      <c r="BD157" s="30">
        <f t="shared" si="31"/>
        <v>8.592731850411754</v>
      </c>
      <c r="BE157" s="30">
        <f t="shared" si="31"/>
        <v>8.6349990910497851</v>
      </c>
      <c r="BF157" s="30">
        <f t="shared" si="25"/>
        <v>8.6349990910497816</v>
      </c>
      <c r="BG157" s="30">
        <f t="shared" si="25"/>
        <v>8.6349990910497887</v>
      </c>
      <c r="BH157" s="30">
        <f t="shared" si="25"/>
        <v>8.6349990910497798</v>
      </c>
      <c r="BI157" s="30">
        <f t="shared" si="25"/>
        <v>8.634999091049794</v>
      </c>
      <c r="BJ157" s="30">
        <f t="shared" si="25"/>
        <v>8.6349990910497851</v>
      </c>
      <c r="BK157" s="30">
        <f t="shared" si="24"/>
        <v>8.6349990910497869</v>
      </c>
      <c r="BL157" s="31">
        <f t="shared" si="24"/>
        <v>8.5074625538520596</v>
      </c>
    </row>
    <row r="158" spans="2:64" ht="15" x14ac:dyDescent="0.4">
      <c r="B158" t="s">
        <v>254</v>
      </c>
      <c r="C158" s="26">
        <v>51021</v>
      </c>
      <c r="D158" t="s">
        <v>255</v>
      </c>
      <c r="E158" t="s">
        <v>255</v>
      </c>
      <c r="F158" t="s">
        <v>85</v>
      </c>
      <c r="G158" t="s">
        <v>33</v>
      </c>
      <c r="H158" t="s">
        <v>34</v>
      </c>
      <c r="J158" s="27">
        <v>39188.291267676199</v>
      </c>
      <c r="K158" s="27">
        <v>32282.583189592438</v>
      </c>
      <c r="L158" s="27">
        <v>45555.997904949363</v>
      </c>
      <c r="M158" s="27">
        <v>25549.89001280754</v>
      </c>
      <c r="N158" s="28">
        <f t="shared" si="27"/>
        <v>142576.76237502554</v>
      </c>
      <c r="O158" s="27">
        <v>10660.873579700417</v>
      </c>
      <c r="P158" s="27">
        <v>20023.885294519168</v>
      </c>
      <c r="Q158" s="27">
        <v>47150.170592867471</v>
      </c>
      <c r="R158" s="27">
        <v>22997.005757975658</v>
      </c>
      <c r="S158" s="27">
        <v>29006.636070356111</v>
      </c>
      <c r="T158" s="27">
        <v>33647.553123872189</v>
      </c>
      <c r="U158" s="27">
        <v>45253.765196478482</v>
      </c>
      <c r="V158" s="27">
        <v>29524.981853780901</v>
      </c>
      <c r="W158" s="27">
        <v>31942.371117413175</v>
      </c>
      <c r="X158" s="27">
        <v>26313.529360778237</v>
      </c>
      <c r="Y158" s="27">
        <v>37132.687969589024</v>
      </c>
      <c r="Z158" s="27">
        <v>20825.71202769829</v>
      </c>
      <c r="AA158" s="28">
        <f t="shared" si="28"/>
        <v>354479.17194502911</v>
      </c>
      <c r="AB158" s="29"/>
      <c r="AC158" s="27">
        <v>318403.57007160375</v>
      </c>
      <c r="AD158" s="27">
        <v>262294.92040083249</v>
      </c>
      <c r="AE158" s="27">
        <v>370140.97583465523</v>
      </c>
      <c r="AF158" s="27">
        <v>207592.01107920965</v>
      </c>
      <c r="AG158" s="28">
        <f t="shared" si="29"/>
        <v>1158431.4773863012</v>
      </c>
      <c r="AH158" s="27">
        <v>89729.916485538386</v>
      </c>
      <c r="AI158" s="27">
        <v>168536.05305051326</v>
      </c>
      <c r="AJ158" s="27">
        <v>396851.2371849902</v>
      </c>
      <c r="AK158" s="27">
        <v>193560.06716089282</v>
      </c>
      <c r="AL158" s="27">
        <v>251008.57234679154</v>
      </c>
      <c r="AM158" s="27">
        <v>294531.19329700497</v>
      </c>
      <c r="AN158" s="27">
        <v>396125.25212256541</v>
      </c>
      <c r="AO158" s="27">
        <v>258444.59195747186</v>
      </c>
      <c r="AP158" s="27">
        <v>279605.0175569143</v>
      </c>
      <c r="AQ158" s="27">
        <v>230333.39672438847</v>
      </c>
      <c r="AR158" s="27">
        <v>325038.04534449277</v>
      </c>
      <c r="AS158" s="27">
        <v>182296.22202233659</v>
      </c>
      <c r="AT158" s="28">
        <f t="shared" si="30"/>
        <v>3066059.5652539004</v>
      </c>
      <c r="AU158" s="30">
        <f t="shared" si="32"/>
        <v>8.1249669166931398</v>
      </c>
      <c r="AV158" s="30">
        <f t="shared" si="32"/>
        <v>8.1249669166931344</v>
      </c>
      <c r="AW158" s="30">
        <f t="shared" si="31"/>
        <v>8.1249669166931326</v>
      </c>
      <c r="AX158" s="30">
        <f t="shared" si="31"/>
        <v>8.1249669166931362</v>
      </c>
      <c r="AY158" s="31">
        <f t="shared" si="31"/>
        <v>8.1249669166931362</v>
      </c>
      <c r="AZ158" s="30">
        <f t="shared" si="31"/>
        <v>8.4167508239094886</v>
      </c>
      <c r="BA158" s="30">
        <f t="shared" si="31"/>
        <v>8.4167508239094868</v>
      </c>
      <c r="BB158" s="30">
        <f t="shared" si="31"/>
        <v>8.4167508239094886</v>
      </c>
      <c r="BC158" s="30">
        <f t="shared" si="31"/>
        <v>8.4167508239094868</v>
      </c>
      <c r="BD158" s="30">
        <f t="shared" si="31"/>
        <v>8.65348783423096</v>
      </c>
      <c r="BE158" s="30">
        <f t="shared" si="31"/>
        <v>8.7534208568658638</v>
      </c>
      <c r="BF158" s="30">
        <f t="shared" si="25"/>
        <v>8.7534208568658673</v>
      </c>
      <c r="BG158" s="30">
        <f t="shared" si="25"/>
        <v>8.753420856865862</v>
      </c>
      <c r="BH158" s="30">
        <f t="shared" si="25"/>
        <v>8.7534208568658656</v>
      </c>
      <c r="BI158" s="30">
        <f t="shared" si="25"/>
        <v>8.753420856865862</v>
      </c>
      <c r="BJ158" s="30">
        <f t="shared" si="25"/>
        <v>8.7534208568658656</v>
      </c>
      <c r="BK158" s="30">
        <f t="shared" si="24"/>
        <v>8.7534208568658691</v>
      </c>
      <c r="BL158" s="31">
        <f t="shared" si="24"/>
        <v>8.6494773400378229</v>
      </c>
    </row>
    <row r="159" spans="2:64" ht="15" x14ac:dyDescent="0.4">
      <c r="B159" t="s">
        <v>256</v>
      </c>
      <c r="C159" s="26">
        <v>53281</v>
      </c>
      <c r="D159" t="s">
        <v>255</v>
      </c>
      <c r="E159" t="s">
        <v>255</v>
      </c>
      <c r="F159" t="s">
        <v>85</v>
      </c>
      <c r="G159" t="s">
        <v>33</v>
      </c>
      <c r="H159" t="s">
        <v>34</v>
      </c>
      <c r="J159" s="27">
        <v>56740.742913257971</v>
      </c>
      <c r="K159" s="27">
        <v>46741.965369829915</v>
      </c>
      <c r="L159" s="27">
        <v>65960.547951059707</v>
      </c>
      <c r="M159" s="27">
        <v>36993.696172573575</v>
      </c>
      <c r="N159" s="28">
        <f t="shared" si="27"/>
        <v>206436.95240672116</v>
      </c>
      <c r="O159" s="27">
        <v>15253.114146420718</v>
      </c>
      <c r="P159" s="27">
        <v>28649.303996410305</v>
      </c>
      <c r="Q159" s="27">
        <v>67460.412948300553</v>
      </c>
      <c r="R159" s="27">
        <v>32903.115418253947</v>
      </c>
      <c r="S159" s="27">
        <v>41501.433037090734</v>
      </c>
      <c r="T159" s="27">
        <v>48141.455267177167</v>
      </c>
      <c r="U159" s="27">
        <v>64747.118604946816</v>
      </c>
      <c r="V159" s="27">
        <v>42243.059634834892</v>
      </c>
      <c r="W159" s="27">
        <v>45701.755031497829</v>
      </c>
      <c r="X159" s="27">
        <v>37648.253113083265</v>
      </c>
      <c r="Y159" s="27">
        <v>53127.834593408705</v>
      </c>
      <c r="Z159" s="27">
        <v>29796.522805019107</v>
      </c>
      <c r="AA159" s="28">
        <f t="shared" si="28"/>
        <v>507173.37859644397</v>
      </c>
      <c r="AB159" s="29"/>
      <c r="AC159" s="27">
        <v>499135.5154016348</v>
      </c>
      <c r="AD159" s="27">
        <v>411178.5249520237</v>
      </c>
      <c r="AE159" s="27">
        <v>580240.06044576562</v>
      </c>
      <c r="AF159" s="27">
        <v>325425.19991211698</v>
      </c>
      <c r="AG159" s="28">
        <f t="shared" si="29"/>
        <v>1815979.300711541</v>
      </c>
      <c r="AH159" s="27">
        <v>138149.54543567673</v>
      </c>
      <c r="AI159" s="27">
        <v>259480.67300613172</v>
      </c>
      <c r="AJ159" s="27">
        <v>610998.20628417004</v>
      </c>
      <c r="AK159" s="27">
        <v>298008.02608666237</v>
      </c>
      <c r="AL159" s="27">
        <v>383718.1189725069</v>
      </c>
      <c r="AM159" s="27">
        <v>453464.70903231564</v>
      </c>
      <c r="AN159" s="27">
        <v>609880.4686299368</v>
      </c>
      <c r="AO159" s="27">
        <v>397905.22824110748</v>
      </c>
      <c r="AP159" s="27">
        <v>430484.14163237932</v>
      </c>
      <c r="AQ159" s="27">
        <v>354624.80410597601</v>
      </c>
      <c r="AR159" s="27">
        <v>500433.52286948368</v>
      </c>
      <c r="AS159" s="27">
        <v>280666.03863479453</v>
      </c>
      <c r="AT159" s="28">
        <f t="shared" si="30"/>
        <v>4717813.4829311417</v>
      </c>
      <c r="AU159" s="30">
        <f t="shared" si="32"/>
        <v>8.796774412430322</v>
      </c>
      <c r="AV159" s="30">
        <f t="shared" si="32"/>
        <v>8.7967744124303149</v>
      </c>
      <c r="AW159" s="30">
        <f t="shared" si="31"/>
        <v>8.7967744124303255</v>
      </c>
      <c r="AX159" s="30">
        <f t="shared" si="31"/>
        <v>8.7967744124303273</v>
      </c>
      <c r="AY159" s="31">
        <f t="shared" si="31"/>
        <v>8.796774412430322</v>
      </c>
      <c r="AZ159" s="30">
        <f t="shared" si="31"/>
        <v>9.0571370612928099</v>
      </c>
      <c r="BA159" s="30">
        <f t="shared" si="31"/>
        <v>9.0571370612928011</v>
      </c>
      <c r="BB159" s="30">
        <f t="shared" si="31"/>
        <v>9.0571370612928064</v>
      </c>
      <c r="BC159" s="30">
        <f t="shared" si="31"/>
        <v>9.0571370612927993</v>
      </c>
      <c r="BD159" s="30">
        <f t="shared" si="31"/>
        <v>9.2459004639567421</v>
      </c>
      <c r="BE159" s="30">
        <f t="shared" si="31"/>
        <v>9.4194225437444921</v>
      </c>
      <c r="BF159" s="30">
        <f t="shared" si="25"/>
        <v>9.4194225437445276</v>
      </c>
      <c r="BG159" s="30">
        <f t="shared" si="25"/>
        <v>9.4194225437445098</v>
      </c>
      <c r="BH159" s="30">
        <f t="shared" si="25"/>
        <v>9.4194225437445009</v>
      </c>
      <c r="BI159" s="30">
        <f t="shared" si="25"/>
        <v>9.4194225437445116</v>
      </c>
      <c r="BJ159" s="30">
        <f t="shared" si="25"/>
        <v>9.4194225437445152</v>
      </c>
      <c r="BK159" s="30">
        <f t="shared" si="24"/>
        <v>9.4194225437445152</v>
      </c>
      <c r="BL159" s="31">
        <f t="shared" si="24"/>
        <v>9.3021709774816248</v>
      </c>
    </row>
    <row r="160" spans="2:64" ht="15" x14ac:dyDescent="0.4">
      <c r="B160" t="s">
        <v>257</v>
      </c>
      <c r="C160" s="26">
        <v>51933</v>
      </c>
      <c r="D160" t="s">
        <v>255</v>
      </c>
      <c r="E160" t="s">
        <v>255</v>
      </c>
      <c r="F160" t="s">
        <v>85</v>
      </c>
      <c r="G160" t="s">
        <v>33</v>
      </c>
      <c r="H160" t="s">
        <v>34</v>
      </c>
      <c r="J160" s="27">
        <v>133889.43672695299</v>
      </c>
      <c r="K160" s="27">
        <v>110295.61992948405</v>
      </c>
      <c r="L160" s="27">
        <v>155645.13536365796</v>
      </c>
      <c r="M160" s="27">
        <v>87292.920196090243</v>
      </c>
      <c r="N160" s="28">
        <f t="shared" si="27"/>
        <v>487123.11221618525</v>
      </c>
      <c r="O160" s="27">
        <v>39718.052103629838</v>
      </c>
      <c r="P160" s="27">
        <v>74600.802035509056</v>
      </c>
      <c r="Q160" s="27">
        <v>175662.23990015336</v>
      </c>
      <c r="R160" s="27">
        <v>85677.432162967089</v>
      </c>
      <c r="S160" s="27">
        <v>108066.85532667265</v>
      </c>
      <c r="T160" s="27">
        <v>125357.01301986194</v>
      </c>
      <c r="U160" s="27">
        <v>168597.00947787319</v>
      </c>
      <c r="V160" s="27">
        <v>109997.99958796117</v>
      </c>
      <c r="W160" s="27">
        <v>119004.20269222891</v>
      </c>
      <c r="X160" s="27">
        <v>98033.441853378667</v>
      </c>
      <c r="Y160" s="27">
        <v>138341.19919893163</v>
      </c>
      <c r="Z160" s="27">
        <v>77588.080303880182</v>
      </c>
      <c r="AA160" s="28">
        <f t="shared" si="28"/>
        <v>1320644.3276630477</v>
      </c>
      <c r="AB160" s="29"/>
      <c r="AC160" s="27">
        <v>1201372.7438909793</v>
      </c>
      <c r="AD160" s="27">
        <v>989668.45176940248</v>
      </c>
      <c r="AE160" s="27">
        <v>1396583.8375020851</v>
      </c>
      <c r="AF160" s="27">
        <v>783268.17725062522</v>
      </c>
      <c r="AG160" s="28">
        <f t="shared" si="29"/>
        <v>4370893.2104130918</v>
      </c>
      <c r="AH160" s="27">
        <v>364490.04559373728</v>
      </c>
      <c r="AI160" s="27">
        <v>684606.82976865058</v>
      </c>
      <c r="AJ160" s="27">
        <v>1612041.2366459835</v>
      </c>
      <c r="AK160" s="27">
        <v>786256.36206817662</v>
      </c>
      <c r="AL160" s="27">
        <v>1013958.7673600056</v>
      </c>
      <c r="AM160" s="27">
        <v>1196409.0938489309</v>
      </c>
      <c r="AN160" s="27">
        <v>1609092.2276769842</v>
      </c>
      <c r="AO160" s="27">
        <v>1049822.4538213634</v>
      </c>
      <c r="AP160" s="27">
        <v>1135777.7828087334</v>
      </c>
      <c r="AQ160" s="27">
        <v>935632.54666980053</v>
      </c>
      <c r="AR160" s="27">
        <v>1320330.3492030718</v>
      </c>
      <c r="AS160" s="27">
        <v>740501.72873164772</v>
      </c>
      <c r="AT160" s="28">
        <f t="shared" si="30"/>
        <v>12448919.424197085</v>
      </c>
      <c r="AU160" s="30">
        <f t="shared" si="32"/>
        <v>8.9728717459689911</v>
      </c>
      <c r="AV160" s="30">
        <f t="shared" si="32"/>
        <v>8.9728717459689982</v>
      </c>
      <c r="AW160" s="30">
        <f t="shared" si="31"/>
        <v>8.9728717459689893</v>
      </c>
      <c r="AX160" s="30">
        <f t="shared" si="31"/>
        <v>8.9728717459690035</v>
      </c>
      <c r="AY160" s="31">
        <f t="shared" si="31"/>
        <v>8.9728717459689928</v>
      </c>
      <c r="AZ160" s="30">
        <f t="shared" si="31"/>
        <v>9.176936589003228</v>
      </c>
      <c r="BA160" s="30">
        <f t="shared" si="31"/>
        <v>9.1769365890032422</v>
      </c>
      <c r="BB160" s="30">
        <f t="shared" si="31"/>
        <v>9.1769365890032475</v>
      </c>
      <c r="BC160" s="30">
        <f t="shared" si="31"/>
        <v>9.176936589003251</v>
      </c>
      <c r="BD160" s="30">
        <f t="shared" si="31"/>
        <v>9.3826989255395148</v>
      </c>
      <c r="BE160" s="30">
        <f t="shared" si="31"/>
        <v>9.5440140525633641</v>
      </c>
      <c r="BF160" s="30">
        <f t="shared" si="25"/>
        <v>9.5440140525633872</v>
      </c>
      <c r="BG160" s="30">
        <f t="shared" si="25"/>
        <v>9.5440140525633907</v>
      </c>
      <c r="BH160" s="30">
        <f t="shared" si="25"/>
        <v>9.5440140525633783</v>
      </c>
      <c r="BI160" s="30">
        <f t="shared" si="25"/>
        <v>9.5440140525633748</v>
      </c>
      <c r="BJ160" s="30">
        <f t="shared" si="25"/>
        <v>9.5440140525633694</v>
      </c>
      <c r="BK160" s="30">
        <f t="shared" si="24"/>
        <v>9.5440140525633712</v>
      </c>
      <c r="BL160" s="31">
        <f t="shared" si="24"/>
        <v>9.426398284105856</v>
      </c>
    </row>
    <row r="161" spans="2:64" ht="15" x14ac:dyDescent="0.4">
      <c r="B161" t="s">
        <v>258</v>
      </c>
      <c r="C161" s="32" t="s">
        <v>259</v>
      </c>
      <c r="D161" t="s">
        <v>255</v>
      </c>
      <c r="E161" t="s">
        <v>260</v>
      </c>
      <c r="F161" t="s">
        <v>85</v>
      </c>
      <c r="G161" t="s">
        <v>25</v>
      </c>
      <c r="H161" t="s">
        <v>126</v>
      </c>
      <c r="J161" s="27">
        <v>0</v>
      </c>
      <c r="K161" s="27">
        <v>0</v>
      </c>
      <c r="L161" s="27">
        <v>0</v>
      </c>
      <c r="M161" s="27">
        <v>0</v>
      </c>
      <c r="N161" s="28">
        <f t="shared" si="27"/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  <c r="V161" s="27">
        <v>14978.641369389785</v>
      </c>
      <c r="W161" s="27">
        <v>14155.151915166971</v>
      </c>
      <c r="X161" s="27">
        <v>7871.8387497548038</v>
      </c>
      <c r="Y161" s="27">
        <v>6333.7726302514093</v>
      </c>
      <c r="Z161" s="27">
        <v>6565.9306429094295</v>
      </c>
      <c r="AA161" s="28">
        <f t="shared" si="28"/>
        <v>49905.3353074724</v>
      </c>
      <c r="AB161" s="29"/>
      <c r="AC161" s="27">
        <v>0</v>
      </c>
      <c r="AD161" s="27">
        <v>0</v>
      </c>
      <c r="AE161" s="27">
        <v>0</v>
      </c>
      <c r="AF161" s="27">
        <v>0</v>
      </c>
      <c r="AG161" s="28">
        <f t="shared" si="29"/>
        <v>0</v>
      </c>
      <c r="AH161" s="27">
        <v>0</v>
      </c>
      <c r="AI161" s="27">
        <v>0</v>
      </c>
      <c r="AJ161" s="27">
        <v>0</v>
      </c>
      <c r="AK161" s="27">
        <v>0</v>
      </c>
      <c r="AL161" s="27">
        <v>0</v>
      </c>
      <c r="AM161" s="27">
        <v>0</v>
      </c>
      <c r="AN161" s="27">
        <v>0</v>
      </c>
      <c r="AO161" s="27">
        <v>154152.51505343165</v>
      </c>
      <c r="AP161" s="27">
        <v>159981.01488430134</v>
      </c>
      <c r="AQ161" s="27">
        <v>98241.794563920092</v>
      </c>
      <c r="AR161" s="27">
        <v>77547.417828523539</v>
      </c>
      <c r="AS161" s="27">
        <v>81464.762172999966</v>
      </c>
      <c r="AT161" s="28">
        <f t="shared" si="30"/>
        <v>571387.50450317655</v>
      </c>
      <c r="AU161" s="30">
        <f t="shared" si="32"/>
        <v>0</v>
      </c>
      <c r="AV161" s="30">
        <f t="shared" si="32"/>
        <v>0</v>
      </c>
      <c r="AW161" s="30">
        <f t="shared" si="31"/>
        <v>0</v>
      </c>
      <c r="AX161" s="30">
        <f t="shared" si="31"/>
        <v>0</v>
      </c>
      <c r="AY161" s="31">
        <f t="shared" si="31"/>
        <v>0</v>
      </c>
      <c r="AZ161" s="30">
        <f t="shared" si="31"/>
        <v>0</v>
      </c>
      <c r="BA161" s="30">
        <f t="shared" si="31"/>
        <v>0</v>
      </c>
      <c r="BB161" s="30">
        <f t="shared" si="31"/>
        <v>0</v>
      </c>
      <c r="BC161" s="30">
        <f t="shared" si="31"/>
        <v>0</v>
      </c>
      <c r="BD161" s="30">
        <f t="shared" si="31"/>
        <v>0</v>
      </c>
      <c r="BE161" s="30">
        <f t="shared" si="31"/>
        <v>0</v>
      </c>
      <c r="BF161" s="30">
        <f t="shared" si="25"/>
        <v>0</v>
      </c>
      <c r="BG161" s="30">
        <f t="shared" si="25"/>
        <v>10.29148847694934</v>
      </c>
      <c r="BH161" s="30">
        <f t="shared" si="25"/>
        <v>11.301963825120435</v>
      </c>
      <c r="BI161" s="30">
        <f t="shared" si="25"/>
        <v>12.480158408603096</v>
      </c>
      <c r="BJ161" s="30">
        <f t="shared" si="25"/>
        <v>12.243479890348608</v>
      </c>
      <c r="BK161" s="30">
        <f t="shared" si="24"/>
        <v>12.407192004224722</v>
      </c>
      <c r="BL161" s="31">
        <f t="shared" si="24"/>
        <v>11.4494272202119</v>
      </c>
    </row>
    <row r="162" spans="2:64" ht="15" x14ac:dyDescent="0.4">
      <c r="B162" t="s">
        <v>261</v>
      </c>
      <c r="C162" s="26">
        <v>53973</v>
      </c>
      <c r="D162" t="s">
        <v>255</v>
      </c>
      <c r="E162" t="s">
        <v>255</v>
      </c>
      <c r="F162" t="s">
        <v>85</v>
      </c>
      <c r="G162" t="s">
        <v>33</v>
      </c>
      <c r="H162" t="s">
        <v>76</v>
      </c>
      <c r="J162" s="27">
        <v>1889.1203878620875</v>
      </c>
      <c r="K162" s="27">
        <v>1556.2221292005167</v>
      </c>
      <c r="L162" s="27">
        <v>2196.0836170121097</v>
      </c>
      <c r="M162" s="27">
        <v>1231.6642693385509</v>
      </c>
      <c r="N162" s="28">
        <f t="shared" si="27"/>
        <v>6873.0904034132654</v>
      </c>
      <c r="O162" s="27">
        <v>742.52083991975815</v>
      </c>
      <c r="P162" s="27">
        <v>1394.6466972138212</v>
      </c>
      <c r="Q162" s="27">
        <v>3283.9695555192643</v>
      </c>
      <c r="R162" s="27">
        <v>1601.7220261917255</v>
      </c>
      <c r="S162" s="27">
        <v>2020.2877013023167</v>
      </c>
      <c r="T162" s="27">
        <v>2343.5236540422729</v>
      </c>
      <c r="U162" s="27">
        <v>3151.8865214950765</v>
      </c>
      <c r="V162" s="27">
        <v>2056.390047287387</v>
      </c>
      <c r="W162" s="27">
        <v>2224.7591676062966</v>
      </c>
      <c r="X162" s="27">
        <v>1832.7150937632</v>
      </c>
      <c r="Y162" s="27">
        <v>2586.2603522620834</v>
      </c>
      <c r="Z162" s="27">
        <v>1450.4932519017909</v>
      </c>
      <c r="AA162" s="28">
        <f t="shared" si="28"/>
        <v>24689.174908504992</v>
      </c>
      <c r="AB162" s="29"/>
      <c r="AC162" s="27">
        <v>34112.129584951639</v>
      </c>
      <c r="AD162" s="27">
        <v>28100.935904002748</v>
      </c>
      <c r="AE162" s="27">
        <v>39655.010556360219</v>
      </c>
      <c r="AF162" s="27">
        <v>22240.346052471181</v>
      </c>
      <c r="AG162" s="28">
        <f t="shared" si="29"/>
        <v>124108.42209778579</v>
      </c>
      <c r="AH162" s="27">
        <v>13166.180873412068</v>
      </c>
      <c r="AI162" s="27">
        <v>24729.502099911817</v>
      </c>
      <c r="AJ162" s="27">
        <v>58230.469538629761</v>
      </c>
      <c r="AK162" s="27">
        <v>28401.306430735782</v>
      </c>
      <c r="AL162" s="27">
        <v>36763.485664438202</v>
      </c>
      <c r="AM162" s="27">
        <v>43216.923805286904</v>
      </c>
      <c r="AN162" s="27">
        <v>58123.944858593808</v>
      </c>
      <c r="AO162" s="27">
        <v>37921.892460645126</v>
      </c>
      <c r="AP162" s="27">
        <v>41026.787703086811</v>
      </c>
      <c r="AQ162" s="27">
        <v>33797.102251281387</v>
      </c>
      <c r="AR162" s="27">
        <v>47693.231681940044</v>
      </c>
      <c r="AS162" s="27">
        <v>26748.548596638844</v>
      </c>
      <c r="AT162" s="28">
        <f t="shared" si="30"/>
        <v>449819.37596460048</v>
      </c>
      <c r="AU162" s="30">
        <f t="shared" si="32"/>
        <v>18.05714966824123</v>
      </c>
      <c r="AV162" s="30">
        <f t="shared" si="32"/>
        <v>18.057149668241216</v>
      </c>
      <c r="AW162" s="30">
        <f t="shared" si="31"/>
        <v>18.05714966824123</v>
      </c>
      <c r="AX162" s="30">
        <f t="shared" si="31"/>
        <v>18.057149668241223</v>
      </c>
      <c r="AY162" s="31">
        <f t="shared" si="31"/>
        <v>18.057149668241223</v>
      </c>
      <c r="AZ162" s="30">
        <f t="shared" si="31"/>
        <v>17.731732451893059</v>
      </c>
      <c r="BA162" s="30">
        <f t="shared" si="31"/>
        <v>17.73173245189308</v>
      </c>
      <c r="BB162" s="30">
        <f t="shared" si="31"/>
        <v>17.731732451893059</v>
      </c>
      <c r="BC162" s="30">
        <f t="shared" si="31"/>
        <v>17.731732451893095</v>
      </c>
      <c r="BD162" s="30">
        <f t="shared" si="31"/>
        <v>18.197153623585265</v>
      </c>
      <c r="BE162" s="30">
        <f t="shared" si="31"/>
        <v>18.44100174996883</v>
      </c>
      <c r="BF162" s="30">
        <f t="shared" si="25"/>
        <v>18.441001749968809</v>
      </c>
      <c r="BG162" s="30">
        <f t="shared" si="25"/>
        <v>18.441001749968798</v>
      </c>
      <c r="BH162" s="30">
        <f t="shared" si="25"/>
        <v>18.441001749968784</v>
      </c>
      <c r="BI162" s="30">
        <f t="shared" si="25"/>
        <v>18.441001749968791</v>
      </c>
      <c r="BJ162" s="30">
        <f t="shared" si="25"/>
        <v>18.441001749968816</v>
      </c>
      <c r="BK162" s="30">
        <f t="shared" si="24"/>
        <v>18.441001749968787</v>
      </c>
      <c r="BL162" s="31">
        <f t="shared" si="24"/>
        <v>18.219295607551693</v>
      </c>
    </row>
    <row r="163" spans="2:64" ht="15" x14ac:dyDescent="0.4">
      <c r="B163" t="s">
        <v>262</v>
      </c>
      <c r="C163" s="26">
        <v>53992</v>
      </c>
      <c r="D163" t="s">
        <v>255</v>
      </c>
      <c r="E163" t="s">
        <v>255</v>
      </c>
      <c r="F163" t="s">
        <v>85</v>
      </c>
      <c r="G163" t="s">
        <v>33</v>
      </c>
      <c r="H163" t="s">
        <v>76</v>
      </c>
      <c r="J163" s="27">
        <v>2389.1025469857855</v>
      </c>
      <c r="K163" s="27">
        <v>1968.0981034544939</v>
      </c>
      <c r="L163" s="27">
        <v>2777.3078923440253</v>
      </c>
      <c r="M163" s="27">
        <v>1557.6414620341991</v>
      </c>
      <c r="N163" s="28">
        <f t="shared" si="27"/>
        <v>8692.1500048185044</v>
      </c>
      <c r="O163" s="27">
        <v>772.55803475338678</v>
      </c>
      <c r="P163" s="27">
        <v>1451.0643387345829</v>
      </c>
      <c r="Q163" s="27">
        <v>3416.8159728366504</v>
      </c>
      <c r="R163" s="27">
        <v>1666.5164857993973</v>
      </c>
      <c r="S163" s="27">
        <v>2102.0143977685871</v>
      </c>
      <c r="T163" s="27">
        <v>2438.3262141984201</v>
      </c>
      <c r="U163" s="27">
        <v>3279.3897839622459</v>
      </c>
      <c r="V163" s="27">
        <v>2139.5771919215786</v>
      </c>
      <c r="W163" s="27">
        <v>2314.757348105195</v>
      </c>
      <c r="X163" s="27">
        <v>1906.8539157144405</v>
      </c>
      <c r="Y163" s="27">
        <v>2690.8823398412896</v>
      </c>
      <c r="Z163" s="27">
        <v>1509.1700540464224</v>
      </c>
      <c r="AA163" s="28">
        <f t="shared" si="28"/>
        <v>25687.926077682194</v>
      </c>
      <c r="AB163" s="29"/>
      <c r="AC163" s="27">
        <v>46563.182770850348</v>
      </c>
      <c r="AD163" s="27">
        <v>38357.881212647982</v>
      </c>
      <c r="AE163" s="27">
        <v>54129.235752269065</v>
      </c>
      <c r="AF163" s="27">
        <v>30358.154437388581</v>
      </c>
      <c r="AG163" s="28">
        <f t="shared" si="29"/>
        <v>169408.45417315597</v>
      </c>
      <c r="AH163" s="27">
        <v>14713.140399968439</v>
      </c>
      <c r="AI163" s="27">
        <v>27635.093267788572</v>
      </c>
      <c r="AJ163" s="27">
        <v>65072.25459799674</v>
      </c>
      <c r="AK163" s="27">
        <v>31738.315998817667</v>
      </c>
      <c r="AL163" s="27">
        <v>41056.250746735008</v>
      </c>
      <c r="AM163" s="27">
        <v>48294.693329481706</v>
      </c>
      <c r="AN163" s="27">
        <v>64953.213807922431</v>
      </c>
      <c r="AO163" s="27">
        <v>42377.522637009053</v>
      </c>
      <c r="AP163" s="27">
        <v>45847.227334860487</v>
      </c>
      <c r="AQ163" s="27">
        <v>37768.090482439584</v>
      </c>
      <c r="AR163" s="27">
        <v>53296.944695759208</v>
      </c>
      <c r="AS163" s="27">
        <v>29891.367495374143</v>
      </c>
      <c r="AT163" s="28">
        <f t="shared" si="30"/>
        <v>502644.11479415302</v>
      </c>
      <c r="AU163" s="30">
        <f t="shared" si="32"/>
        <v>19.489821744820812</v>
      </c>
      <c r="AV163" s="30">
        <f t="shared" si="32"/>
        <v>19.489821744820805</v>
      </c>
      <c r="AW163" s="30">
        <f t="shared" si="31"/>
        <v>19.489821744820819</v>
      </c>
      <c r="AX163" s="30">
        <f t="shared" si="31"/>
        <v>19.489821744820791</v>
      </c>
      <c r="AY163" s="31">
        <f t="shared" si="31"/>
        <v>19.489821744820809</v>
      </c>
      <c r="AZ163" s="30">
        <f t="shared" si="31"/>
        <v>19.044705689541001</v>
      </c>
      <c r="BA163" s="30">
        <f t="shared" si="31"/>
        <v>19.044705689541008</v>
      </c>
      <c r="BB163" s="30">
        <f t="shared" si="31"/>
        <v>19.044705689541004</v>
      </c>
      <c r="BC163" s="30">
        <f t="shared" si="31"/>
        <v>19.044705689541008</v>
      </c>
      <c r="BD163" s="30">
        <f t="shared" si="31"/>
        <v>19.5318599103406</v>
      </c>
      <c r="BE163" s="30">
        <f t="shared" si="31"/>
        <v>19.806493917122651</v>
      </c>
      <c r="BF163" s="30">
        <f t="shared" si="25"/>
        <v>19.806493917122665</v>
      </c>
      <c r="BG163" s="30">
        <f t="shared" si="25"/>
        <v>19.806493917122626</v>
      </c>
      <c r="BH163" s="30">
        <f t="shared" si="25"/>
        <v>19.806493917122644</v>
      </c>
      <c r="BI163" s="30">
        <f t="shared" si="25"/>
        <v>19.806493917122655</v>
      </c>
      <c r="BJ163" s="30">
        <f t="shared" si="25"/>
        <v>19.806493917122626</v>
      </c>
      <c r="BK163" s="30">
        <f t="shared" si="24"/>
        <v>19.806493917122662</v>
      </c>
      <c r="BL163" s="31">
        <f t="shared" si="24"/>
        <v>19.567329541284103</v>
      </c>
    </row>
    <row r="164" spans="2:64" ht="15" x14ac:dyDescent="0.4">
      <c r="B164" t="s">
        <v>263</v>
      </c>
      <c r="C164" s="26">
        <v>54002</v>
      </c>
      <c r="D164" t="s">
        <v>264</v>
      </c>
      <c r="E164" t="s">
        <v>264</v>
      </c>
      <c r="F164" t="s">
        <v>53</v>
      </c>
      <c r="G164" t="s">
        <v>33</v>
      </c>
      <c r="H164" t="s">
        <v>34</v>
      </c>
      <c r="J164" s="27">
        <v>7592.3004130589507</v>
      </c>
      <c r="K164" s="27">
        <v>5111.9334948978621</v>
      </c>
      <c r="L164" s="27">
        <v>8052.2474660543921</v>
      </c>
      <c r="M164" s="27">
        <v>6898.0515990645845</v>
      </c>
      <c r="N164" s="28">
        <f t="shared" si="27"/>
        <v>27654.532973075788</v>
      </c>
      <c r="O164" s="27">
        <v>4903.5301216229855</v>
      </c>
      <c r="P164" s="27">
        <v>5824.9749459316045</v>
      </c>
      <c r="Q164" s="27">
        <v>8374.5432654160722</v>
      </c>
      <c r="R164" s="27">
        <v>3865.3451890122105</v>
      </c>
      <c r="S164" s="27">
        <v>5769.7239023076818</v>
      </c>
      <c r="T164" s="27">
        <v>5145.9217968763196</v>
      </c>
      <c r="U164" s="27">
        <v>6595.3705461393383</v>
      </c>
      <c r="V164" s="27">
        <v>7428.5919298226636</v>
      </c>
      <c r="W164" s="27">
        <v>5861.9574993250326</v>
      </c>
      <c r="X164" s="27">
        <v>3946.8850356507419</v>
      </c>
      <c r="Y164" s="27">
        <v>6217.0791264884592</v>
      </c>
      <c r="Z164" s="27">
        <v>5325.9332615865123</v>
      </c>
      <c r="AA164" s="28">
        <f t="shared" si="28"/>
        <v>69259.85662017962</v>
      </c>
      <c r="AB164" s="29"/>
      <c r="AC164" s="27">
        <v>100663.03543651775</v>
      </c>
      <c r="AD164" s="27">
        <v>67776.920636718962</v>
      </c>
      <c r="AE164" s="27">
        <v>106761.27496547066</v>
      </c>
      <c r="AF164" s="27">
        <v>91458.289949277634</v>
      </c>
      <c r="AG164" s="28">
        <f t="shared" si="29"/>
        <v>366659.52098798502</v>
      </c>
      <c r="AH164" s="27">
        <v>66427.360426989821</v>
      </c>
      <c r="AI164" s="27">
        <v>78910.030246436916</v>
      </c>
      <c r="AJ164" s="27">
        <v>113448.63600411393</v>
      </c>
      <c r="AK164" s="27">
        <v>52363.230504692096</v>
      </c>
      <c r="AL164" s="27">
        <v>81078.376551383641</v>
      </c>
      <c r="AM164" s="27">
        <v>72499.442889064696</v>
      </c>
      <c r="AN164" s="27">
        <v>92920.318091950568</v>
      </c>
      <c r="AO164" s="27">
        <v>104659.33949662201</v>
      </c>
      <c r="AP164" s="27">
        <v>82587.468235218301</v>
      </c>
      <c r="AQ164" s="27">
        <v>55606.551659133707</v>
      </c>
      <c r="AR164" s="27">
        <v>87590.676823198548</v>
      </c>
      <c r="AS164" s="27">
        <v>75035.573716598097</v>
      </c>
      <c r="AT164" s="28">
        <f t="shared" si="30"/>
        <v>963127.00464540243</v>
      </c>
      <c r="AU164" s="30">
        <f t="shared" si="32"/>
        <v>13.258568544439411</v>
      </c>
      <c r="AV164" s="30">
        <f t="shared" si="32"/>
        <v>13.258568544439401</v>
      </c>
      <c r="AW164" s="30">
        <f t="shared" si="31"/>
        <v>13.258568544439404</v>
      </c>
      <c r="AX164" s="30">
        <f t="shared" si="31"/>
        <v>13.258568544439404</v>
      </c>
      <c r="AY164" s="31">
        <f t="shared" si="31"/>
        <v>13.258568544439406</v>
      </c>
      <c r="AZ164" s="30">
        <f t="shared" si="31"/>
        <v>13.546844575108572</v>
      </c>
      <c r="BA164" s="30">
        <f t="shared" si="31"/>
        <v>13.546844575108574</v>
      </c>
      <c r="BB164" s="30">
        <f t="shared" si="31"/>
        <v>13.546844575108594</v>
      </c>
      <c r="BC164" s="30">
        <f t="shared" si="31"/>
        <v>13.546844575108576</v>
      </c>
      <c r="BD164" s="30">
        <f t="shared" si="31"/>
        <v>14.052384121700383</v>
      </c>
      <c r="BE164" s="30">
        <f t="shared" si="31"/>
        <v>14.088718358112894</v>
      </c>
      <c r="BF164" s="30">
        <f t="shared" si="25"/>
        <v>14.088718358112926</v>
      </c>
      <c r="BG164" s="30">
        <f t="shared" si="25"/>
        <v>14.088718358112915</v>
      </c>
      <c r="BH164" s="30">
        <f t="shared" si="25"/>
        <v>14.088718358112921</v>
      </c>
      <c r="BI164" s="30">
        <f t="shared" si="25"/>
        <v>14.088718358112903</v>
      </c>
      <c r="BJ164" s="30">
        <f t="shared" si="25"/>
        <v>14.088718358112914</v>
      </c>
      <c r="BK164" s="30">
        <f t="shared" si="24"/>
        <v>14.088718358112915</v>
      </c>
      <c r="BL164" s="31">
        <f t="shared" si="24"/>
        <v>13.905991892636763</v>
      </c>
    </row>
    <row r="165" spans="2:64" ht="15" x14ac:dyDescent="0.4">
      <c r="B165" t="s">
        <v>265</v>
      </c>
      <c r="C165" s="26">
        <v>52706</v>
      </c>
      <c r="D165" t="s">
        <v>266</v>
      </c>
      <c r="E165" t="s">
        <v>266</v>
      </c>
      <c r="F165" t="s">
        <v>53</v>
      </c>
      <c r="G165" t="s">
        <v>33</v>
      </c>
      <c r="H165" t="s">
        <v>34</v>
      </c>
      <c r="J165" s="27">
        <v>3518.2039870666272</v>
      </c>
      <c r="K165" s="27">
        <v>2532.2510252680217</v>
      </c>
      <c r="L165" s="27">
        <v>5964.3945199039881</v>
      </c>
      <c r="M165" s="27">
        <v>4447.8217245591895</v>
      </c>
      <c r="N165" s="28">
        <f t="shared" si="27"/>
        <v>16462.671256797825</v>
      </c>
      <c r="O165" s="27">
        <v>2725.6852984336538</v>
      </c>
      <c r="P165" s="27">
        <v>3777.8333808292882</v>
      </c>
      <c r="Q165" s="27">
        <v>5124.3587559967164</v>
      </c>
      <c r="R165" s="27">
        <v>2944.6784937123175</v>
      </c>
      <c r="S165" s="27">
        <v>3340.1887132887009</v>
      </c>
      <c r="T165" s="27">
        <v>3307.2124421731646</v>
      </c>
      <c r="U165" s="27">
        <v>2159.3819150899667</v>
      </c>
      <c r="V165" s="27">
        <v>2237.7560889795845</v>
      </c>
      <c r="W165" s="27">
        <v>2778.6011075760443</v>
      </c>
      <c r="X165" s="27">
        <v>1999.9168693276372</v>
      </c>
      <c r="Y165" s="27">
        <v>4710.5492688738377</v>
      </c>
      <c r="Z165" s="27">
        <v>3512.793009044733</v>
      </c>
      <c r="AA165" s="28">
        <f t="shared" si="28"/>
        <v>38618.955343325644</v>
      </c>
      <c r="AB165" s="29"/>
      <c r="AC165" s="27">
        <v>52013.724895654224</v>
      </c>
      <c r="AD165" s="27">
        <v>37437.228960918379</v>
      </c>
      <c r="AE165" s="27">
        <v>88178.620929281227</v>
      </c>
      <c r="AF165" s="27">
        <v>65757.35131237426</v>
      </c>
      <c r="AG165" s="28">
        <f t="shared" si="29"/>
        <v>243386.92609822808</v>
      </c>
      <c r="AH165" s="27">
        <v>40152.821505337597</v>
      </c>
      <c r="AI165" s="27">
        <v>55652.304946765238</v>
      </c>
      <c r="AJ165" s="27">
        <v>75488.341437322553</v>
      </c>
      <c r="AK165" s="27">
        <v>43378.870633592014</v>
      </c>
      <c r="AL165" s="27">
        <v>51021.396129484187</v>
      </c>
      <c r="AM165" s="27">
        <v>50668.236492674769</v>
      </c>
      <c r="AN165" s="27">
        <v>33082.868265907004</v>
      </c>
      <c r="AO165" s="27">
        <v>34283.601888857396</v>
      </c>
      <c r="AP165" s="27">
        <v>42569.632431885831</v>
      </c>
      <c r="AQ165" s="27">
        <v>30639.779776045227</v>
      </c>
      <c r="AR165" s="27">
        <v>72168.09580241621</v>
      </c>
      <c r="AS165" s="27">
        <v>53817.839054553791</v>
      </c>
      <c r="AT165" s="28">
        <f t="shared" si="30"/>
        <v>582923.78836484172</v>
      </c>
      <c r="AU165" s="30">
        <f t="shared" si="32"/>
        <v>14.784169731733408</v>
      </c>
      <c r="AV165" s="30">
        <f t="shared" si="32"/>
        <v>14.784169731733408</v>
      </c>
      <c r="AW165" s="30">
        <f t="shared" si="31"/>
        <v>14.784169731733421</v>
      </c>
      <c r="AX165" s="30">
        <f t="shared" si="31"/>
        <v>14.784169731733408</v>
      </c>
      <c r="AY165" s="31">
        <f t="shared" si="31"/>
        <v>14.784169731733414</v>
      </c>
      <c r="AZ165" s="30">
        <f t="shared" si="31"/>
        <v>14.731275664293261</v>
      </c>
      <c r="BA165" s="30">
        <f t="shared" si="31"/>
        <v>14.731275664293264</v>
      </c>
      <c r="BB165" s="30">
        <f t="shared" si="31"/>
        <v>14.731275664293268</v>
      </c>
      <c r="BC165" s="30">
        <f t="shared" si="31"/>
        <v>14.731275664293266</v>
      </c>
      <c r="BD165" s="30">
        <f t="shared" si="31"/>
        <v>15.275004051866658</v>
      </c>
      <c r="BE165" s="30">
        <f t="shared" si="31"/>
        <v>15.320526690864995</v>
      </c>
      <c r="BF165" s="30">
        <f t="shared" si="25"/>
        <v>15.320526690864995</v>
      </c>
      <c r="BG165" s="30">
        <f t="shared" si="25"/>
        <v>15.320526690864998</v>
      </c>
      <c r="BH165" s="30">
        <f t="shared" si="25"/>
        <v>15.320526690864998</v>
      </c>
      <c r="BI165" s="30">
        <f t="shared" si="25"/>
        <v>15.320526690864995</v>
      </c>
      <c r="BJ165" s="30">
        <f t="shared" si="25"/>
        <v>15.320526690864993</v>
      </c>
      <c r="BK165" s="30">
        <f t="shared" si="24"/>
        <v>15.320526690864995</v>
      </c>
      <c r="BL165" s="31">
        <f t="shared" si="24"/>
        <v>15.09424020361509</v>
      </c>
    </row>
    <row r="166" spans="2:64" ht="15" x14ac:dyDescent="0.4">
      <c r="B166" t="s">
        <v>267</v>
      </c>
      <c r="C166" s="26">
        <v>61061</v>
      </c>
      <c r="D166" t="s">
        <v>266</v>
      </c>
      <c r="E166" t="s">
        <v>266</v>
      </c>
      <c r="F166" t="s">
        <v>53</v>
      </c>
      <c r="G166" t="s">
        <v>33</v>
      </c>
      <c r="H166" t="s">
        <v>76</v>
      </c>
      <c r="J166" s="27">
        <v>1629.9218926726542</v>
      </c>
      <c r="K166" s="27">
        <v>1173.1472646270302</v>
      </c>
      <c r="L166" s="27">
        <v>2763.1988481241556</v>
      </c>
      <c r="M166" s="27">
        <v>2060.5974043047368</v>
      </c>
      <c r="N166" s="28">
        <f t="shared" si="27"/>
        <v>7626.8654097285762</v>
      </c>
      <c r="O166" s="27">
        <v>954.59692518030852</v>
      </c>
      <c r="P166" s="27">
        <v>1323.0830907939278</v>
      </c>
      <c r="Q166" s="27">
        <v>1794.6668732470059</v>
      </c>
      <c r="R166" s="27">
        <v>1031.2933181823021</v>
      </c>
      <c r="S166" s="27">
        <v>1169.8099839551155</v>
      </c>
      <c r="T166" s="27">
        <v>1158.2609445157887</v>
      </c>
      <c r="U166" s="27">
        <v>756.26461265334694</v>
      </c>
      <c r="V166" s="27">
        <v>783.71302918608797</v>
      </c>
      <c r="W166" s="27">
        <v>973.12924390755961</v>
      </c>
      <c r="X166" s="27">
        <v>700.41633022472786</v>
      </c>
      <c r="Y166" s="27">
        <v>1649.7413881791063</v>
      </c>
      <c r="Z166" s="27">
        <v>1230.2599302846897</v>
      </c>
      <c r="AA166" s="28">
        <f t="shared" si="28"/>
        <v>13525.235670309965</v>
      </c>
      <c r="AB166" s="29"/>
      <c r="AC166" s="27">
        <v>14465.063237626699</v>
      </c>
      <c r="AD166" s="27">
        <v>10411.32673054221</v>
      </c>
      <c r="AE166" s="27">
        <v>24522.553047442587</v>
      </c>
      <c r="AF166" s="27">
        <v>18287.177989665568</v>
      </c>
      <c r="AG166" s="28">
        <f t="shared" si="29"/>
        <v>67686.121005277062</v>
      </c>
      <c r="AH166" s="27">
        <v>8304.413877856583</v>
      </c>
      <c r="AI166" s="27">
        <v>11510.019874274285</v>
      </c>
      <c r="AJ166" s="27">
        <v>15612.512564407069</v>
      </c>
      <c r="AK166" s="27">
        <v>8971.6259478168922</v>
      </c>
      <c r="AL166" s="27">
        <v>10430.111451377434</v>
      </c>
      <c r="AM166" s="27">
        <v>10479.213926233153</v>
      </c>
      <c r="AN166" s="27">
        <v>6842.2048575136441</v>
      </c>
      <c r="AO166" s="27">
        <v>7090.5408047325136</v>
      </c>
      <c r="AP166" s="27">
        <v>8804.2591551284313</v>
      </c>
      <c r="AQ166" s="27">
        <v>6336.9248497975532</v>
      </c>
      <c r="AR166" s="27">
        <v>14925.818755735532</v>
      </c>
      <c r="AS166" s="27">
        <v>11130.615303372348</v>
      </c>
      <c r="AT166" s="28">
        <f t="shared" si="30"/>
        <v>120438.26136824545</v>
      </c>
      <c r="AU166" s="30">
        <f t="shared" si="32"/>
        <v>8.8746971880399137</v>
      </c>
      <c r="AV166" s="30">
        <f t="shared" si="32"/>
        <v>8.8746971880399048</v>
      </c>
      <c r="AW166" s="30">
        <f t="shared" si="31"/>
        <v>8.874697188039919</v>
      </c>
      <c r="AX166" s="30">
        <f t="shared" si="31"/>
        <v>8.8746971880399013</v>
      </c>
      <c r="AY166" s="31">
        <f t="shared" si="31"/>
        <v>8.8746971880399119</v>
      </c>
      <c r="AZ166" s="30">
        <f t="shared" si="31"/>
        <v>8.6993930724090784</v>
      </c>
      <c r="BA166" s="30">
        <f t="shared" si="31"/>
        <v>8.6993930724090767</v>
      </c>
      <c r="BB166" s="30">
        <f t="shared" si="31"/>
        <v>8.6993930724090802</v>
      </c>
      <c r="BC166" s="30">
        <f t="shared" si="31"/>
        <v>8.6993930724090802</v>
      </c>
      <c r="BD166" s="30">
        <f t="shared" si="31"/>
        <v>8.9160732037123971</v>
      </c>
      <c r="BE166" s="30">
        <f t="shared" si="31"/>
        <v>9.0473687953054416</v>
      </c>
      <c r="BF166" s="30">
        <f t="shared" si="25"/>
        <v>9.0473687953054363</v>
      </c>
      <c r="BG166" s="30">
        <f t="shared" si="25"/>
        <v>9.0473687953054398</v>
      </c>
      <c r="BH166" s="30">
        <f t="shared" si="25"/>
        <v>9.0473687953054398</v>
      </c>
      <c r="BI166" s="30">
        <f t="shared" si="25"/>
        <v>9.0473687953054398</v>
      </c>
      <c r="BJ166" s="30">
        <f t="shared" si="25"/>
        <v>9.0473687953054451</v>
      </c>
      <c r="BK166" s="30">
        <f t="shared" si="24"/>
        <v>9.0473687953054398</v>
      </c>
      <c r="BL166" s="31">
        <f t="shared" si="24"/>
        <v>8.9047070457061626</v>
      </c>
    </row>
    <row r="167" spans="2:64" ht="15" x14ac:dyDescent="0.4">
      <c r="B167" t="s">
        <v>268</v>
      </c>
      <c r="C167" s="26">
        <v>53292</v>
      </c>
      <c r="D167" t="s">
        <v>266</v>
      </c>
      <c r="E167" t="s">
        <v>266</v>
      </c>
      <c r="F167" t="s">
        <v>53</v>
      </c>
      <c r="G167" t="s">
        <v>33</v>
      </c>
      <c r="H167" t="s">
        <v>34</v>
      </c>
      <c r="J167" s="27">
        <v>45000.63906677968</v>
      </c>
      <c r="K167" s="27">
        <v>32389.513181576378</v>
      </c>
      <c r="L167" s="27">
        <v>76289.369811630313</v>
      </c>
      <c r="M167" s="27">
        <v>56891.192436841251</v>
      </c>
      <c r="N167" s="28">
        <f t="shared" si="27"/>
        <v>210570.71449682763</v>
      </c>
      <c r="O167" s="27">
        <v>37345.417333021542</v>
      </c>
      <c r="P167" s="27">
        <v>51761.208200655252</v>
      </c>
      <c r="Q167" s="27">
        <v>70210.349087913535</v>
      </c>
      <c r="R167" s="27">
        <v>40345.907622738203</v>
      </c>
      <c r="S167" s="27">
        <v>45764.909668955013</v>
      </c>
      <c r="T167" s="27">
        <v>45313.092062716947</v>
      </c>
      <c r="U167" s="27">
        <v>29586.327829832957</v>
      </c>
      <c r="V167" s="27">
        <v>30660.15547740494</v>
      </c>
      <c r="W167" s="27">
        <v>38070.432424482329</v>
      </c>
      <c r="X167" s="27">
        <v>27401.450255211297</v>
      </c>
      <c r="Y167" s="27">
        <v>64540.623385592597</v>
      </c>
      <c r="Z167" s="27">
        <v>48129.811978911923</v>
      </c>
      <c r="AA167" s="28">
        <f t="shared" si="28"/>
        <v>529129.68532743654</v>
      </c>
      <c r="AB167" s="29"/>
      <c r="AC167" s="27">
        <v>678810.71653563937</v>
      </c>
      <c r="AD167" s="27">
        <v>488578.58703738143</v>
      </c>
      <c r="AE167" s="27">
        <v>1150784.5857263526</v>
      </c>
      <c r="AF167" s="27">
        <v>858173.3927225041</v>
      </c>
      <c r="AG167" s="28">
        <f t="shared" si="29"/>
        <v>3176347.2820218774</v>
      </c>
      <c r="AH167" s="27">
        <v>565819.98732392816</v>
      </c>
      <c r="AI167" s="27">
        <v>784233.46850831178</v>
      </c>
      <c r="AJ167" s="27">
        <v>1063756.1893251333</v>
      </c>
      <c r="AK167" s="27">
        <v>611280.38110005739</v>
      </c>
      <c r="AL167" s="27">
        <v>713204.10071931209</v>
      </c>
      <c r="AM167" s="27">
        <v>713999.6606763982</v>
      </c>
      <c r="AN167" s="27">
        <v>466192.5962131038</v>
      </c>
      <c r="AO167" s="27">
        <v>483112.92852964799</v>
      </c>
      <c r="AP167" s="27">
        <v>599876.86991789646</v>
      </c>
      <c r="AQ167" s="27">
        <v>431765.41907983361</v>
      </c>
      <c r="AR167" s="27">
        <v>1016968.4102196153</v>
      </c>
      <c r="AS167" s="27">
        <v>758382.79528129497</v>
      </c>
      <c r="AT167" s="28">
        <f t="shared" si="30"/>
        <v>8208592.8068945343</v>
      </c>
      <c r="AU167" s="30">
        <f t="shared" si="32"/>
        <v>15.084468367844808</v>
      </c>
      <c r="AV167" s="30">
        <f t="shared" si="32"/>
        <v>15.084468367844812</v>
      </c>
      <c r="AW167" s="30">
        <f t="shared" si="31"/>
        <v>15.084468367844815</v>
      </c>
      <c r="AX167" s="30">
        <f t="shared" si="31"/>
        <v>15.084468367844817</v>
      </c>
      <c r="AY167" s="31">
        <f t="shared" si="31"/>
        <v>15.084468367844812</v>
      </c>
      <c r="AZ167" s="30">
        <f t="shared" si="31"/>
        <v>15.150988467428885</v>
      </c>
      <c r="BA167" s="30">
        <f t="shared" si="31"/>
        <v>15.150988467428858</v>
      </c>
      <c r="BB167" s="30">
        <f t="shared" si="31"/>
        <v>15.150988467428874</v>
      </c>
      <c r="BC167" s="30">
        <f t="shared" si="31"/>
        <v>15.150988467428878</v>
      </c>
      <c r="BD167" s="30">
        <f t="shared" si="31"/>
        <v>15.584081906385139</v>
      </c>
      <c r="BE167" s="30">
        <f t="shared" si="31"/>
        <v>15.757028006126033</v>
      </c>
      <c r="BF167" s="30">
        <f t="shared" si="25"/>
        <v>15.757028006126028</v>
      </c>
      <c r="BG167" s="30">
        <f t="shared" si="25"/>
        <v>15.757028006126028</v>
      </c>
      <c r="BH167" s="30">
        <f t="shared" si="25"/>
        <v>15.757028006126028</v>
      </c>
      <c r="BI167" s="30">
        <f t="shared" si="25"/>
        <v>15.757028006126028</v>
      </c>
      <c r="BJ167" s="30">
        <f t="shared" si="25"/>
        <v>15.757028006126033</v>
      </c>
      <c r="BK167" s="30">
        <f t="shared" si="24"/>
        <v>15.757028006126024</v>
      </c>
      <c r="BL167" s="31">
        <f t="shared" si="24"/>
        <v>15.513385535749871</v>
      </c>
    </row>
    <row r="168" spans="2:64" ht="15" x14ac:dyDescent="0.4">
      <c r="B168" t="s">
        <v>269</v>
      </c>
      <c r="C168" s="26">
        <v>53293</v>
      </c>
      <c r="D168" t="s">
        <v>266</v>
      </c>
      <c r="E168" t="s">
        <v>266</v>
      </c>
      <c r="F168" t="s">
        <v>53</v>
      </c>
      <c r="G168" t="s">
        <v>33</v>
      </c>
      <c r="H168" t="s">
        <v>34</v>
      </c>
      <c r="J168" s="27">
        <v>44985.02296472426</v>
      </c>
      <c r="K168" s="27">
        <v>32378.273386901077</v>
      </c>
      <c r="L168" s="27">
        <v>76262.895907938539</v>
      </c>
      <c r="M168" s="27">
        <v>56871.450080164308</v>
      </c>
      <c r="N168" s="28">
        <f t="shared" si="27"/>
        <v>210497.64233972819</v>
      </c>
      <c r="O168" s="27">
        <v>44748.244583674306</v>
      </c>
      <c r="P168" s="27">
        <v>62021.617909765875</v>
      </c>
      <c r="Q168" s="27">
        <v>84127.855508340392</v>
      </c>
      <c r="R168" s="27">
        <v>48343.509624037382</v>
      </c>
      <c r="S168" s="27">
        <v>54836.697979684082</v>
      </c>
      <c r="T168" s="27">
        <v>54295.318442514676</v>
      </c>
      <c r="U168" s="27">
        <v>35451.102936035059</v>
      </c>
      <c r="V168" s="27">
        <v>36737.790986292173</v>
      </c>
      <c r="W168" s="27">
        <v>45616.976410935313</v>
      </c>
      <c r="X168" s="27">
        <v>32833.126137899133</v>
      </c>
      <c r="Y168" s="27">
        <v>77334.243585694639</v>
      </c>
      <c r="Z168" s="27">
        <v>57670.38507009115</v>
      </c>
      <c r="AA168" s="28">
        <f t="shared" si="28"/>
        <v>634016.86917496426</v>
      </c>
      <c r="AB168" s="29"/>
      <c r="AC168" s="27">
        <v>777326.50486834836</v>
      </c>
      <c r="AD168" s="27">
        <v>559485.98948694451</v>
      </c>
      <c r="AE168" s="27">
        <v>1317797.9340755902</v>
      </c>
      <c r="AF168" s="27">
        <v>982720.0833547439</v>
      </c>
      <c r="AG168" s="28">
        <f t="shared" si="29"/>
        <v>3637330.5117856273</v>
      </c>
      <c r="AH168" s="27">
        <v>786255.00798811263</v>
      </c>
      <c r="AI168" s="27">
        <v>1089759.121028621</v>
      </c>
      <c r="AJ168" s="27">
        <v>1478179.721241296</v>
      </c>
      <c r="AK168" s="27">
        <v>849426.09255980456</v>
      </c>
      <c r="AL168" s="27">
        <v>987934.70249913097</v>
      </c>
      <c r="AM168" s="27">
        <v>992163.2700953742</v>
      </c>
      <c r="AN168" s="27">
        <v>647814.27250940853</v>
      </c>
      <c r="AO168" s="27">
        <v>671326.5137146489</v>
      </c>
      <c r="AP168" s="27">
        <v>833579.94364939246</v>
      </c>
      <c r="AQ168" s="27">
        <v>599974.78108396602</v>
      </c>
      <c r="AR168" s="27">
        <v>1413164.1218307095</v>
      </c>
      <c r="AS168" s="27">
        <v>1053837.4114037352</v>
      </c>
      <c r="AT168" s="28">
        <f t="shared" si="30"/>
        <v>11403414.9596042</v>
      </c>
      <c r="AU168" s="30">
        <f t="shared" si="32"/>
        <v>17.279673403254716</v>
      </c>
      <c r="AV168" s="30">
        <f t="shared" si="32"/>
        <v>17.279673403254716</v>
      </c>
      <c r="AW168" s="30">
        <f t="shared" si="31"/>
        <v>17.279673403254741</v>
      </c>
      <c r="AX168" s="30">
        <f t="shared" si="31"/>
        <v>17.279673403254723</v>
      </c>
      <c r="AY168" s="31">
        <f t="shared" si="31"/>
        <v>17.279673403254726</v>
      </c>
      <c r="AZ168" s="30">
        <f t="shared" si="31"/>
        <v>17.570633558996981</v>
      </c>
      <c r="BA168" s="30">
        <f t="shared" si="31"/>
        <v>17.570633558996988</v>
      </c>
      <c r="BB168" s="30">
        <f t="shared" si="31"/>
        <v>17.570633558996995</v>
      </c>
      <c r="BC168" s="30">
        <f t="shared" si="31"/>
        <v>17.570633558996978</v>
      </c>
      <c r="BD168" s="30">
        <f t="shared" si="31"/>
        <v>18.015940764069008</v>
      </c>
      <c r="BE168" s="30">
        <f t="shared" si="31"/>
        <v>18.273458901356843</v>
      </c>
      <c r="BF168" s="30">
        <f t="shared" si="25"/>
        <v>18.273458901356872</v>
      </c>
      <c r="BG168" s="30">
        <f t="shared" si="25"/>
        <v>18.273458901356872</v>
      </c>
      <c r="BH168" s="30">
        <f t="shared" si="25"/>
        <v>18.273458901356875</v>
      </c>
      <c r="BI168" s="30">
        <f t="shared" si="25"/>
        <v>18.273458901356875</v>
      </c>
      <c r="BJ168" s="30">
        <f t="shared" si="25"/>
        <v>18.273458901356836</v>
      </c>
      <c r="BK168" s="30">
        <f t="shared" si="24"/>
        <v>18.273458901356864</v>
      </c>
      <c r="BL168" s="31">
        <f t="shared" si="24"/>
        <v>17.985980364281595</v>
      </c>
    </row>
    <row r="169" spans="2:64" ht="15" x14ac:dyDescent="0.4">
      <c r="B169" t="s">
        <v>270</v>
      </c>
      <c r="C169" s="26">
        <v>53906</v>
      </c>
      <c r="D169" t="s">
        <v>266</v>
      </c>
      <c r="E169" t="s">
        <v>266</v>
      </c>
      <c r="F169" t="s">
        <v>53</v>
      </c>
      <c r="G169" t="s">
        <v>33</v>
      </c>
      <c r="H169" t="s">
        <v>76</v>
      </c>
      <c r="J169" s="27">
        <v>8235.6028965057667</v>
      </c>
      <c r="K169" s="27">
        <v>5927.6306760612151</v>
      </c>
      <c r="L169" s="27">
        <v>13961.778499654167</v>
      </c>
      <c r="M169" s="27">
        <v>10411.702565450822</v>
      </c>
      <c r="N169" s="28">
        <f t="shared" si="27"/>
        <v>38536.714637671976</v>
      </c>
      <c r="O169" s="27">
        <v>5817.7151078780153</v>
      </c>
      <c r="P169" s="27">
        <v>8063.4247641598722</v>
      </c>
      <c r="Q169" s="27">
        <v>10937.45465409413</v>
      </c>
      <c r="R169" s="27">
        <v>6285.1351807042074</v>
      </c>
      <c r="S169" s="27">
        <v>7129.3139936698772</v>
      </c>
      <c r="T169" s="27">
        <v>7058.9292904979584</v>
      </c>
      <c r="U169" s="27">
        <v>4608.9945887431468</v>
      </c>
      <c r="V169" s="27">
        <v>4776.2767822403639</v>
      </c>
      <c r="W169" s="27">
        <v>5930.6588517761711</v>
      </c>
      <c r="X169" s="27">
        <v>4268.6316692076107</v>
      </c>
      <c r="Y169" s="27">
        <v>10054.217801181761</v>
      </c>
      <c r="Z169" s="27">
        <v>7497.7213881998214</v>
      </c>
      <c r="AA169" s="28">
        <f t="shared" si="28"/>
        <v>82428.474072352925</v>
      </c>
      <c r="AB169" s="29"/>
      <c r="AC169" s="27">
        <v>211149.90451389598</v>
      </c>
      <c r="AD169" s="27">
        <v>151976.56649703294</v>
      </c>
      <c r="AE169" s="27">
        <v>357961.43088649225</v>
      </c>
      <c r="AF169" s="27">
        <v>266942.205707221</v>
      </c>
      <c r="AG169" s="28">
        <f t="shared" si="29"/>
        <v>988030.10760464217</v>
      </c>
      <c r="AH169" s="27">
        <v>148924.69391915537</v>
      </c>
      <c r="AI169" s="27">
        <v>206411.45925425866</v>
      </c>
      <c r="AJ169" s="27">
        <v>279982.27077326342</v>
      </c>
      <c r="AK169" s="27">
        <v>160889.9397221079</v>
      </c>
      <c r="AL169" s="27">
        <v>187037.93449312254</v>
      </c>
      <c r="AM169" s="27">
        <v>187925.81263789645</v>
      </c>
      <c r="AN169" s="27">
        <v>122702.61081934177</v>
      </c>
      <c r="AO169" s="27">
        <v>127156.068398968</v>
      </c>
      <c r="AP169" s="27">
        <v>157888.5179794103</v>
      </c>
      <c r="AQ169" s="27">
        <v>113641.3246648505</v>
      </c>
      <c r="AR169" s="27">
        <v>267667.65510300227</v>
      </c>
      <c r="AS169" s="27">
        <v>199607.52216439787</v>
      </c>
      <c r="AT169" s="28">
        <f t="shared" si="30"/>
        <v>2159835.8099297751</v>
      </c>
      <c r="AU169" s="30">
        <f t="shared" si="32"/>
        <v>25.638669951350309</v>
      </c>
      <c r="AV169" s="30">
        <f t="shared" si="32"/>
        <v>25.638669951350298</v>
      </c>
      <c r="AW169" s="30">
        <f t="shared" si="31"/>
        <v>25.63866995135032</v>
      </c>
      <c r="AX169" s="30">
        <f t="shared" si="31"/>
        <v>25.63866995135032</v>
      </c>
      <c r="AY169" s="31">
        <f t="shared" si="31"/>
        <v>25.638669951350312</v>
      </c>
      <c r="AZ169" s="30">
        <f t="shared" si="31"/>
        <v>25.598485171178304</v>
      </c>
      <c r="BA169" s="30">
        <f t="shared" si="31"/>
        <v>25.598485171178336</v>
      </c>
      <c r="BB169" s="30">
        <f t="shared" si="31"/>
        <v>25.598485171178275</v>
      </c>
      <c r="BC169" s="30">
        <f t="shared" si="31"/>
        <v>25.598485171178332</v>
      </c>
      <c r="BD169" s="30">
        <f t="shared" si="31"/>
        <v>26.235053563245167</v>
      </c>
      <c r="BE169" s="30">
        <f t="shared" si="31"/>
        <v>26.622424578025431</v>
      </c>
      <c r="BF169" s="30">
        <f t="shared" si="25"/>
        <v>26.622424578025434</v>
      </c>
      <c r="BG169" s="30">
        <f t="shared" si="25"/>
        <v>26.622424578025413</v>
      </c>
      <c r="BH169" s="30">
        <f t="shared" si="25"/>
        <v>26.62242457802548</v>
      </c>
      <c r="BI169" s="30">
        <f t="shared" si="25"/>
        <v>26.622424578025452</v>
      </c>
      <c r="BJ169" s="30">
        <f t="shared" si="25"/>
        <v>26.622424578025445</v>
      </c>
      <c r="BK169" s="30">
        <f t="shared" si="24"/>
        <v>26.622424578025431</v>
      </c>
      <c r="BL169" s="31">
        <f t="shared" si="24"/>
        <v>26.20254510636633</v>
      </c>
    </row>
    <row r="170" spans="2:64" ht="15" x14ac:dyDescent="0.4">
      <c r="B170" t="s">
        <v>271</v>
      </c>
      <c r="C170" s="26">
        <v>53905</v>
      </c>
      <c r="D170" t="s">
        <v>266</v>
      </c>
      <c r="E170" t="s">
        <v>266</v>
      </c>
      <c r="F170" t="s">
        <v>53</v>
      </c>
      <c r="G170" t="s">
        <v>33</v>
      </c>
      <c r="H170" t="s">
        <v>76</v>
      </c>
      <c r="J170" s="27">
        <v>2225.0962150428268</v>
      </c>
      <c r="K170" s="27">
        <v>1601.5279934237346</v>
      </c>
      <c r="L170" s="27">
        <v>3772.1950518070425</v>
      </c>
      <c r="M170" s="27">
        <v>2813.0350942935506</v>
      </c>
      <c r="N170" s="28">
        <f t="shared" si="27"/>
        <v>10411.854354567155</v>
      </c>
      <c r="O170" s="27">
        <v>923.26128543102038</v>
      </c>
      <c r="P170" s="27">
        <v>1279.6515083135405</v>
      </c>
      <c r="Q170" s="27">
        <v>1735.7550612280997</v>
      </c>
      <c r="R170" s="27">
        <v>997.44003933552221</v>
      </c>
      <c r="S170" s="27">
        <v>1131.4097510762861</v>
      </c>
      <c r="T170" s="27">
        <v>1120.2398209026348</v>
      </c>
      <c r="U170" s="27">
        <v>731.43943793076494</v>
      </c>
      <c r="V170" s="27">
        <v>757.98683156109632</v>
      </c>
      <c r="W170" s="27">
        <v>941.18526146614852</v>
      </c>
      <c r="X170" s="27">
        <v>677.4244336247109</v>
      </c>
      <c r="Y170" s="27">
        <v>1595.5869063702464</v>
      </c>
      <c r="Z170" s="27">
        <v>1189.875364866039</v>
      </c>
      <c r="AA170" s="28">
        <f t="shared" si="28"/>
        <v>13081.255702106109</v>
      </c>
      <c r="AB170" s="29"/>
      <c r="AC170" s="27">
        <v>63253.783563677178</v>
      </c>
      <c r="AD170" s="27">
        <v>45527.336922482376</v>
      </c>
      <c r="AE170" s="27">
        <v>107233.83903755565</v>
      </c>
      <c r="AF170" s="27">
        <v>79967.379301864334</v>
      </c>
      <c r="AG170" s="28">
        <f t="shared" si="29"/>
        <v>295982.3388255795</v>
      </c>
      <c r="AH170" s="27">
        <v>25982.480432263204</v>
      </c>
      <c r="AI170" s="27">
        <v>36012.037761716332</v>
      </c>
      <c r="AJ170" s="27">
        <v>48847.734249472538</v>
      </c>
      <c r="AK170" s="27">
        <v>28070.023852773455</v>
      </c>
      <c r="AL170" s="27">
        <v>32652.321997631185</v>
      </c>
      <c r="AM170" s="27">
        <v>32786.898002502858</v>
      </c>
      <c r="AN170" s="27">
        <v>21407.585946302799</v>
      </c>
      <c r="AO170" s="27">
        <v>22184.568402156412</v>
      </c>
      <c r="AP170" s="27">
        <v>27546.374082904204</v>
      </c>
      <c r="AQ170" s="27">
        <v>19826.688352999619</v>
      </c>
      <c r="AR170" s="27">
        <v>46699.237232200867</v>
      </c>
      <c r="AS170" s="27">
        <v>34824.973631199318</v>
      </c>
      <c r="AT170" s="28">
        <f t="shared" si="30"/>
        <v>376840.9239441228</v>
      </c>
      <c r="AU170" s="30">
        <f t="shared" si="32"/>
        <v>28.427437490589469</v>
      </c>
      <c r="AV170" s="30">
        <f t="shared" si="32"/>
        <v>28.427437490589455</v>
      </c>
      <c r="AW170" s="30">
        <f t="shared" si="31"/>
        <v>28.42743749058948</v>
      </c>
      <c r="AX170" s="30">
        <f t="shared" si="31"/>
        <v>28.427437490589458</v>
      </c>
      <c r="AY170" s="31">
        <f t="shared" si="31"/>
        <v>28.427437490589465</v>
      </c>
      <c r="AZ170" s="30">
        <f t="shared" si="31"/>
        <v>28.142066435866418</v>
      </c>
      <c r="BA170" s="30">
        <f t="shared" si="31"/>
        <v>28.142066435866425</v>
      </c>
      <c r="BB170" s="30">
        <f t="shared" si="31"/>
        <v>28.142066435866404</v>
      </c>
      <c r="BC170" s="30">
        <f t="shared" si="31"/>
        <v>28.142066435866393</v>
      </c>
      <c r="BD170" s="30">
        <f t="shared" si="31"/>
        <v>28.859855562115957</v>
      </c>
      <c r="BE170" s="30">
        <f t="shared" si="31"/>
        <v>29.267749093301081</v>
      </c>
      <c r="BF170" s="30">
        <f t="shared" si="31"/>
        <v>29.267749093301084</v>
      </c>
      <c r="BG170" s="30">
        <f t="shared" si="31"/>
        <v>29.267749093301049</v>
      </c>
      <c r="BH170" s="30">
        <f t="shared" si="31"/>
        <v>29.267749093301074</v>
      </c>
      <c r="BI170" s="30">
        <f t="shared" ref="BI170:BL232" si="33">IFERROR(AQ170/X170,0)</f>
        <v>29.267749093301063</v>
      </c>
      <c r="BJ170" s="30">
        <f t="shared" si="33"/>
        <v>29.267749093301088</v>
      </c>
      <c r="BK170" s="30">
        <f t="shared" si="24"/>
        <v>29.267749093301092</v>
      </c>
      <c r="BL170" s="31">
        <f t="shared" si="24"/>
        <v>28.80770260330976</v>
      </c>
    </row>
    <row r="171" spans="2:64" ht="15" x14ac:dyDescent="0.4">
      <c r="B171" t="s">
        <v>272</v>
      </c>
      <c r="C171" s="26">
        <v>53342</v>
      </c>
      <c r="D171" t="s">
        <v>273</v>
      </c>
      <c r="E171" t="s">
        <v>273</v>
      </c>
      <c r="F171" t="s">
        <v>109</v>
      </c>
      <c r="G171" t="s">
        <v>33</v>
      </c>
      <c r="H171" t="s">
        <v>34</v>
      </c>
      <c r="J171" s="27">
        <v>5948.1435148188211</v>
      </c>
      <c r="K171" s="27">
        <v>2752.4160479199049</v>
      </c>
      <c r="L171" s="27">
        <v>5118.7080681815787</v>
      </c>
      <c r="M171" s="27">
        <v>4458.870343133055</v>
      </c>
      <c r="N171" s="28">
        <f t="shared" si="27"/>
        <v>18278.137974053359</v>
      </c>
      <c r="O171" s="27">
        <v>4808.2232315289939</v>
      </c>
      <c r="P171" s="27">
        <v>5119.4137771189189</v>
      </c>
      <c r="Q171" s="27">
        <v>3806.8702325363683</v>
      </c>
      <c r="R171" s="27">
        <v>5409.3368912421602</v>
      </c>
      <c r="S171" s="27">
        <v>5103.4975058277223</v>
      </c>
      <c r="T171" s="27">
        <v>3123.7054501323819</v>
      </c>
      <c r="U171" s="27">
        <v>5376.2694655423493</v>
      </c>
      <c r="V171" s="27">
        <v>3407.1797301979841</v>
      </c>
      <c r="W171" s="27">
        <v>3739.0888703135174</v>
      </c>
      <c r="X171" s="27">
        <v>1730.2084567411639</v>
      </c>
      <c r="Y171" s="27">
        <v>3217.6937762915964</v>
      </c>
      <c r="Z171" s="27">
        <v>2802.9102580736312</v>
      </c>
      <c r="AA171" s="28">
        <f t="shared" si="28"/>
        <v>47644.397645546793</v>
      </c>
      <c r="AB171" s="29"/>
      <c r="AC171" s="27">
        <v>187611.58630957757</v>
      </c>
      <c r="AD171" s="27">
        <v>86814.506013128805</v>
      </c>
      <c r="AE171" s="27">
        <v>161450.19671006218</v>
      </c>
      <c r="AF171" s="27">
        <v>140638.12282602664</v>
      </c>
      <c r="AG171" s="28">
        <f t="shared" si="29"/>
        <v>576514.41185879521</v>
      </c>
      <c r="AH171" s="27">
        <v>146581.94012813221</v>
      </c>
      <c r="AI171" s="27">
        <v>156068.79457012078</v>
      </c>
      <c r="AJ171" s="27">
        <v>116055.01609037552</v>
      </c>
      <c r="AK171" s="27">
        <v>164907.29696691164</v>
      </c>
      <c r="AL171" s="27">
        <v>161774.20857849679</v>
      </c>
      <c r="AM171" s="27">
        <v>99037.406241341814</v>
      </c>
      <c r="AN171" s="27">
        <v>170455.18267392143</v>
      </c>
      <c r="AO171" s="27">
        <v>108024.98777936399</v>
      </c>
      <c r="AP171" s="27">
        <v>118548.2015937277</v>
      </c>
      <c r="AQ171" s="27">
        <v>54856.439106708247</v>
      </c>
      <c r="AR171" s="27">
        <v>102017.31589939856</v>
      </c>
      <c r="AS171" s="27">
        <v>88866.561306251897</v>
      </c>
      <c r="AT171" s="28">
        <f t="shared" si="30"/>
        <v>1487193.3509347509</v>
      </c>
      <c r="AU171" s="30">
        <f t="shared" si="32"/>
        <v>31.541200349684598</v>
      </c>
      <c r="AV171" s="30">
        <f t="shared" si="32"/>
        <v>31.541200349684598</v>
      </c>
      <c r="AW171" s="30">
        <f t="shared" si="32"/>
        <v>31.541200349684598</v>
      </c>
      <c r="AX171" s="30">
        <f t="shared" si="32"/>
        <v>31.541200349684605</v>
      </c>
      <c r="AY171" s="31">
        <f t="shared" si="32"/>
        <v>31.541200349684601</v>
      </c>
      <c r="AZ171" s="30">
        <f t="shared" si="32"/>
        <v>30.485676947557153</v>
      </c>
      <c r="BA171" s="30">
        <f t="shared" si="32"/>
        <v>30.485676947557163</v>
      </c>
      <c r="BB171" s="30">
        <f t="shared" si="32"/>
        <v>30.485676947557156</v>
      </c>
      <c r="BC171" s="30">
        <f t="shared" si="32"/>
        <v>30.485676947557163</v>
      </c>
      <c r="BD171" s="30">
        <f t="shared" si="32"/>
        <v>31.698694550896832</v>
      </c>
      <c r="BE171" s="30">
        <f t="shared" si="32"/>
        <v>31.705104025459452</v>
      </c>
      <c r="BF171" s="30">
        <f t="shared" si="32"/>
        <v>31.705104025459445</v>
      </c>
      <c r="BG171" s="30">
        <f t="shared" si="32"/>
        <v>31.705104025459462</v>
      </c>
      <c r="BH171" s="30">
        <f t="shared" si="32"/>
        <v>31.705104025459445</v>
      </c>
      <c r="BI171" s="30">
        <f t="shared" si="33"/>
        <v>31.705104025459445</v>
      </c>
      <c r="BJ171" s="30">
        <f t="shared" si="33"/>
        <v>31.705104025459462</v>
      </c>
      <c r="BK171" s="30">
        <f t="shared" si="24"/>
        <v>31.705104025459459</v>
      </c>
      <c r="BL171" s="31">
        <f t="shared" si="24"/>
        <v>31.214443343345643</v>
      </c>
    </row>
    <row r="172" spans="2:64" ht="15" x14ac:dyDescent="0.4">
      <c r="B172" t="s">
        <v>274</v>
      </c>
      <c r="C172" s="26">
        <v>53907</v>
      </c>
      <c r="D172" t="s">
        <v>273</v>
      </c>
      <c r="E172" t="s">
        <v>273</v>
      </c>
      <c r="F172" t="s">
        <v>109</v>
      </c>
      <c r="G172" t="s">
        <v>33</v>
      </c>
      <c r="H172" t="s">
        <v>76</v>
      </c>
      <c r="J172" s="27">
        <v>5614.8350653515463</v>
      </c>
      <c r="K172" s="27">
        <v>2598.1824584082415</v>
      </c>
      <c r="L172" s="27">
        <v>4831.8776234838761</v>
      </c>
      <c r="M172" s="27">
        <v>4209.0143743349381</v>
      </c>
      <c r="N172" s="28">
        <f t="shared" si="27"/>
        <v>17253.9095215786</v>
      </c>
      <c r="O172" s="27">
        <v>4030.3051005277816</v>
      </c>
      <c r="P172" s="27">
        <v>4291.14840640904</v>
      </c>
      <c r="Q172" s="27">
        <v>3190.9601065588931</v>
      </c>
      <c r="R172" s="27">
        <v>4534.1651195162294</v>
      </c>
      <c r="S172" s="27">
        <v>4277.8072143974778</v>
      </c>
      <c r="T172" s="27">
        <v>2618.3239425453148</v>
      </c>
      <c r="U172" s="27">
        <v>4506.4476430094473</v>
      </c>
      <c r="V172" s="27">
        <v>2855.9351726823011</v>
      </c>
      <c r="W172" s="27">
        <v>3134.1450302337871</v>
      </c>
      <c r="X172" s="27">
        <v>1450.2795798777306</v>
      </c>
      <c r="Y172" s="27">
        <v>2697.1059815791177</v>
      </c>
      <c r="Z172" s="27">
        <v>2349.4299173467311</v>
      </c>
      <c r="AA172" s="28">
        <f t="shared" si="28"/>
        <v>39936.053214683852</v>
      </c>
      <c r="AB172" s="29"/>
      <c r="AC172" s="27">
        <v>386327.06167654728</v>
      </c>
      <c r="AD172" s="27">
        <v>178767.1735988133</v>
      </c>
      <c r="AE172" s="27">
        <v>332455.90706310642</v>
      </c>
      <c r="AF172" s="27">
        <v>289599.98590615066</v>
      </c>
      <c r="AG172" s="28">
        <f t="shared" si="29"/>
        <v>1187150.1282446175</v>
      </c>
      <c r="AH172" s="27">
        <v>272594.63080500934</v>
      </c>
      <c r="AI172" s="27">
        <v>290237.08786250342</v>
      </c>
      <c r="AJ172" s="27">
        <v>215824.50223111556</v>
      </c>
      <c r="AK172" s="27">
        <v>306673.82144384581</v>
      </c>
      <c r="AL172" s="27">
        <v>300853.92679407354</v>
      </c>
      <c r="AM172" s="27">
        <v>184177.29473798239</v>
      </c>
      <c r="AN172" s="27">
        <v>316991.08054635703</v>
      </c>
      <c r="AO172" s="27">
        <v>200891.26693022842</v>
      </c>
      <c r="AP172" s="27">
        <v>220461.0146228919</v>
      </c>
      <c r="AQ172" s="27">
        <v>102015.09648800657</v>
      </c>
      <c r="AR172" s="27">
        <v>189718.95541159727</v>
      </c>
      <c r="AS172" s="27">
        <v>165262.83830745431</v>
      </c>
      <c r="AT172" s="28">
        <f t="shared" si="30"/>
        <v>2765701.5161810652</v>
      </c>
      <c r="AU172" s="30">
        <f t="shared" si="32"/>
        <v>68.804703465026762</v>
      </c>
      <c r="AV172" s="30">
        <f t="shared" si="32"/>
        <v>68.804703465026762</v>
      </c>
      <c r="AW172" s="30">
        <f t="shared" si="32"/>
        <v>68.804703465026776</v>
      </c>
      <c r="AX172" s="30">
        <f t="shared" si="32"/>
        <v>68.80470346502679</v>
      </c>
      <c r="AY172" s="31">
        <f t="shared" si="32"/>
        <v>68.804703465026776</v>
      </c>
      <c r="AZ172" s="30">
        <f t="shared" si="32"/>
        <v>67.636227036338312</v>
      </c>
      <c r="BA172" s="30">
        <f t="shared" si="32"/>
        <v>67.636227036338369</v>
      </c>
      <c r="BB172" s="30">
        <f t="shared" si="32"/>
        <v>67.636227036338298</v>
      </c>
      <c r="BC172" s="30">
        <f t="shared" si="32"/>
        <v>67.636227036338326</v>
      </c>
      <c r="BD172" s="30">
        <f t="shared" si="32"/>
        <v>70.329005426311227</v>
      </c>
      <c r="BE172" s="30">
        <f t="shared" si="32"/>
        <v>70.341676117791863</v>
      </c>
      <c r="BF172" s="30">
        <f t="shared" si="32"/>
        <v>70.341676117791849</v>
      </c>
      <c r="BG172" s="30">
        <f t="shared" si="32"/>
        <v>70.341676117791877</v>
      </c>
      <c r="BH172" s="30">
        <f t="shared" si="32"/>
        <v>70.34167611779182</v>
      </c>
      <c r="BI172" s="30">
        <f t="shared" si="33"/>
        <v>70.341676117791863</v>
      </c>
      <c r="BJ172" s="30">
        <f t="shared" si="33"/>
        <v>70.341676117791806</v>
      </c>
      <c r="BK172" s="30">
        <f t="shared" si="24"/>
        <v>70.341676117791877</v>
      </c>
      <c r="BL172" s="31">
        <f t="shared" si="24"/>
        <v>69.253250973838362</v>
      </c>
    </row>
    <row r="173" spans="2:64" ht="15" x14ac:dyDescent="0.4">
      <c r="B173" t="s">
        <v>275</v>
      </c>
      <c r="C173" s="26">
        <v>53343</v>
      </c>
      <c r="D173" t="s">
        <v>273</v>
      </c>
      <c r="E173" t="s">
        <v>273</v>
      </c>
      <c r="F173" t="s">
        <v>109</v>
      </c>
      <c r="G173" t="s">
        <v>33</v>
      </c>
      <c r="H173" t="s">
        <v>34</v>
      </c>
      <c r="J173" s="27">
        <v>16087.573790688512</v>
      </c>
      <c r="K173" s="27">
        <v>7444.2884848476087</v>
      </c>
      <c r="L173" s="27">
        <v>13844.251328958069</v>
      </c>
      <c r="M173" s="27">
        <v>12059.629275849875</v>
      </c>
      <c r="N173" s="28">
        <f t="shared" si="27"/>
        <v>49435.742880344063</v>
      </c>
      <c r="O173" s="27">
        <v>8244.7905831766348</v>
      </c>
      <c r="P173" s="27">
        <v>8778.3974388295319</v>
      </c>
      <c r="Q173" s="27">
        <v>6527.7434788755454</v>
      </c>
      <c r="R173" s="27">
        <v>9275.5364538183239</v>
      </c>
      <c r="S173" s="27">
        <v>8751.1053774292996</v>
      </c>
      <c r="T173" s="27">
        <v>5356.3023261878025</v>
      </c>
      <c r="U173" s="27">
        <v>9218.8348434954223</v>
      </c>
      <c r="V173" s="27">
        <v>5842.3833507816717</v>
      </c>
      <c r="W173" s="27">
        <v>6411.5169415331566</v>
      </c>
      <c r="X173" s="27">
        <v>2966.8352953188169</v>
      </c>
      <c r="Y173" s="27">
        <v>5517.4666542840287</v>
      </c>
      <c r="Z173" s="27">
        <v>4806.2261231382081</v>
      </c>
      <c r="AA173" s="28">
        <f t="shared" si="28"/>
        <v>81697.138866868452</v>
      </c>
      <c r="AB173" s="29"/>
      <c r="AC173" s="27">
        <v>577659.78120689048</v>
      </c>
      <c r="AD173" s="27">
        <v>267303.57935557922</v>
      </c>
      <c r="AE173" s="27">
        <v>497108.34571512201</v>
      </c>
      <c r="AF173" s="27">
        <v>433027.55900680192</v>
      </c>
      <c r="AG173" s="28">
        <f t="shared" si="29"/>
        <v>1775099.2652843934</v>
      </c>
      <c r="AH173" s="27">
        <v>293301.28355981148</v>
      </c>
      <c r="AI173" s="27">
        <v>312283.88525240769</v>
      </c>
      <c r="AJ173" s="27">
        <v>232218.82008866165</v>
      </c>
      <c r="AK173" s="27">
        <v>329969.17510093324</v>
      </c>
      <c r="AL173" s="27">
        <v>323719.97572105267</v>
      </c>
      <c r="AM173" s="27">
        <v>198167.64838579964</v>
      </c>
      <c r="AN173" s="27">
        <v>341070.14700433909</v>
      </c>
      <c r="AO173" s="27">
        <v>216151.23626092312</v>
      </c>
      <c r="AP173" s="27">
        <v>237207.52816311276</v>
      </c>
      <c r="AQ173" s="27">
        <v>109764.29966375003</v>
      </c>
      <c r="AR173" s="27">
        <v>204130.26101622538</v>
      </c>
      <c r="AS173" s="27">
        <v>177816.42454647779</v>
      </c>
      <c r="AT173" s="28">
        <f t="shared" si="30"/>
        <v>2975800.6847634949</v>
      </c>
      <c r="AU173" s="30">
        <f t="shared" si="32"/>
        <v>35.907203206815439</v>
      </c>
      <c r="AV173" s="30">
        <f t="shared" si="32"/>
        <v>35.907203206815424</v>
      </c>
      <c r="AW173" s="30">
        <f t="shared" si="32"/>
        <v>35.907203206815431</v>
      </c>
      <c r="AX173" s="30">
        <f t="shared" si="32"/>
        <v>35.907203206815431</v>
      </c>
      <c r="AY173" s="31">
        <f t="shared" si="32"/>
        <v>35.907203206815431</v>
      </c>
      <c r="AZ173" s="30">
        <f t="shared" si="32"/>
        <v>35.574133824367607</v>
      </c>
      <c r="BA173" s="30">
        <f t="shared" si="32"/>
        <v>35.574133824367614</v>
      </c>
      <c r="BB173" s="30">
        <f t="shared" si="32"/>
        <v>35.574133824367614</v>
      </c>
      <c r="BC173" s="30">
        <f t="shared" si="32"/>
        <v>35.574133824367614</v>
      </c>
      <c r="BD173" s="30">
        <f t="shared" si="32"/>
        <v>36.991895510250131</v>
      </c>
      <c r="BE173" s="30">
        <f t="shared" si="32"/>
        <v>36.997099177342342</v>
      </c>
      <c r="BF173" s="30">
        <f t="shared" si="32"/>
        <v>36.997099177342307</v>
      </c>
      <c r="BG173" s="30">
        <f t="shared" si="32"/>
        <v>36.997099177342335</v>
      </c>
      <c r="BH173" s="30">
        <f t="shared" si="32"/>
        <v>36.997099177342328</v>
      </c>
      <c r="BI173" s="30">
        <f t="shared" si="33"/>
        <v>36.997099177342342</v>
      </c>
      <c r="BJ173" s="30">
        <f t="shared" si="33"/>
        <v>36.997099177342335</v>
      </c>
      <c r="BK173" s="30">
        <f t="shared" si="24"/>
        <v>36.997099177342328</v>
      </c>
      <c r="BL173" s="31">
        <f t="shared" si="24"/>
        <v>36.42478458900235</v>
      </c>
    </row>
    <row r="174" spans="2:64" ht="15" x14ac:dyDescent="0.4">
      <c r="B174" t="s">
        <v>276</v>
      </c>
      <c r="C174" s="26">
        <v>51761</v>
      </c>
      <c r="D174" t="s">
        <v>277</v>
      </c>
      <c r="E174" t="s">
        <v>277</v>
      </c>
      <c r="F174" t="s">
        <v>109</v>
      </c>
      <c r="G174" t="s">
        <v>33</v>
      </c>
      <c r="H174" t="s">
        <v>34</v>
      </c>
      <c r="J174" s="27">
        <v>287662.2767514725</v>
      </c>
      <c r="K174" s="27">
        <v>311438.96834427118</v>
      </c>
      <c r="L174" s="27">
        <v>340725.32197674934</v>
      </c>
      <c r="M174" s="27">
        <v>187820.0721887628</v>
      </c>
      <c r="N174" s="28">
        <f t="shared" si="27"/>
        <v>1127646.6392612557</v>
      </c>
      <c r="O174" s="27">
        <v>248601.80432387104</v>
      </c>
      <c r="P174" s="27">
        <v>296581.35755351424</v>
      </c>
      <c r="Q174" s="27">
        <v>518996.59960312617</v>
      </c>
      <c r="R174" s="27">
        <v>242617.70593881758</v>
      </c>
      <c r="S174" s="27">
        <v>225405.27134201868</v>
      </c>
      <c r="T174" s="27">
        <v>232572.45408326414</v>
      </c>
      <c r="U174" s="27">
        <v>159164.08968164527</v>
      </c>
      <c r="V174" s="27">
        <v>167442.79460339193</v>
      </c>
      <c r="W174" s="27">
        <v>335362.86274950113</v>
      </c>
      <c r="X174" s="27">
        <v>363082.24065792974</v>
      </c>
      <c r="Y174" s="27">
        <v>397224.90094900195</v>
      </c>
      <c r="Z174" s="27">
        <v>218964.67552977102</v>
      </c>
      <c r="AA174" s="28">
        <f t="shared" si="28"/>
        <v>3406016.7570158527</v>
      </c>
      <c r="AB174" s="29"/>
      <c r="AC174" s="27">
        <v>2522025.3133322056</v>
      </c>
      <c r="AD174" s="27">
        <v>2730483.0184630645</v>
      </c>
      <c r="AE174" s="27">
        <v>2987245.6570349676</v>
      </c>
      <c r="AF174" s="27">
        <v>1646677.4224316722</v>
      </c>
      <c r="AG174" s="28">
        <f t="shared" si="29"/>
        <v>9886431.4112619087</v>
      </c>
      <c r="AH174" s="27">
        <v>2207645.3508450883</v>
      </c>
      <c r="AI174" s="27">
        <v>2633715.6197682112</v>
      </c>
      <c r="AJ174" s="27">
        <v>4608817.8375631971</v>
      </c>
      <c r="AK174" s="27">
        <v>2154505.0809476441</v>
      </c>
      <c r="AL174" s="27">
        <v>2064301.8844553444</v>
      </c>
      <c r="AM174" s="27">
        <v>2147912.7970268722</v>
      </c>
      <c r="AN174" s="27">
        <v>1469953.0363640774</v>
      </c>
      <c r="AO174" s="27">
        <v>1546410.6560521857</v>
      </c>
      <c r="AP174" s="27">
        <v>3097229.1511759716</v>
      </c>
      <c r="AQ174" s="27">
        <v>3353230.2617538446</v>
      </c>
      <c r="AR174" s="27">
        <v>3668553.3177572037</v>
      </c>
      <c r="AS174" s="27">
        <v>2022238.7493011202</v>
      </c>
      <c r="AT174" s="28">
        <f t="shared" si="30"/>
        <v>30974513.743010763</v>
      </c>
      <c r="AU174" s="30">
        <f t="shared" si="32"/>
        <v>8.76731332941206</v>
      </c>
      <c r="AV174" s="30">
        <f t="shared" si="32"/>
        <v>8.767313329412044</v>
      </c>
      <c r="AW174" s="30">
        <f t="shared" si="32"/>
        <v>8.7673133294120511</v>
      </c>
      <c r="AX174" s="30">
        <f t="shared" si="32"/>
        <v>8.7673133294120422</v>
      </c>
      <c r="AY174" s="31">
        <f t="shared" si="32"/>
        <v>8.7673133294120493</v>
      </c>
      <c r="AZ174" s="30">
        <f t="shared" si="32"/>
        <v>8.8802466934995916</v>
      </c>
      <c r="BA174" s="30">
        <f t="shared" si="32"/>
        <v>8.8802466934995792</v>
      </c>
      <c r="BB174" s="30">
        <f t="shared" si="32"/>
        <v>8.8802466934996005</v>
      </c>
      <c r="BC174" s="30">
        <f t="shared" si="32"/>
        <v>8.880246693499604</v>
      </c>
      <c r="BD174" s="30">
        <f t="shared" si="32"/>
        <v>9.1581792748896103</v>
      </c>
      <c r="BE174" s="30">
        <f t="shared" si="32"/>
        <v>9.2354565612395785</v>
      </c>
      <c r="BF174" s="30">
        <f t="shared" si="32"/>
        <v>9.2354565612395891</v>
      </c>
      <c r="BG174" s="30">
        <f t="shared" si="32"/>
        <v>9.2354565612395696</v>
      </c>
      <c r="BH174" s="30">
        <f t="shared" si="32"/>
        <v>9.2354565612395874</v>
      </c>
      <c r="BI174" s="30">
        <f t="shared" si="33"/>
        <v>9.2354565612395785</v>
      </c>
      <c r="BJ174" s="30">
        <f t="shared" si="33"/>
        <v>9.2354565612395838</v>
      </c>
      <c r="BK174" s="30">
        <f t="shared" si="24"/>
        <v>9.2354565612395838</v>
      </c>
      <c r="BL174" s="31">
        <f t="shared" si="24"/>
        <v>9.094057942964664</v>
      </c>
    </row>
    <row r="175" spans="2:64" ht="15" x14ac:dyDescent="0.4">
      <c r="B175" t="s">
        <v>278</v>
      </c>
      <c r="C175" s="26">
        <v>60591</v>
      </c>
      <c r="D175" t="s">
        <v>278</v>
      </c>
      <c r="E175" t="s">
        <v>278</v>
      </c>
      <c r="F175" t="s">
        <v>53</v>
      </c>
      <c r="G175" t="s">
        <v>33</v>
      </c>
      <c r="H175" t="s">
        <v>34</v>
      </c>
      <c r="J175" s="27">
        <v>4608.6945425966951</v>
      </c>
      <c r="K175" s="27">
        <v>4179.3130634727795</v>
      </c>
      <c r="L175" s="27">
        <v>4579.8088794556297</v>
      </c>
      <c r="M175" s="27">
        <v>2555.8607255851748</v>
      </c>
      <c r="N175" s="28">
        <f t="shared" si="27"/>
        <v>15923.677211110278</v>
      </c>
      <c r="O175" s="27">
        <v>4083.6345247359473</v>
      </c>
      <c r="P175" s="27">
        <v>4807.6831993345213</v>
      </c>
      <c r="Q175" s="27">
        <v>7447.7715379708043</v>
      </c>
      <c r="R175" s="27">
        <v>5564.8312419147442</v>
      </c>
      <c r="S175" s="27">
        <v>4271.680309081692</v>
      </c>
      <c r="T175" s="27">
        <v>4623.1542228368298</v>
      </c>
      <c r="U175" s="27">
        <v>5041.4474857049172</v>
      </c>
      <c r="V175" s="27">
        <v>5636.82236727483</v>
      </c>
      <c r="W175" s="27">
        <v>7327.3725869375558</v>
      </c>
      <c r="X175" s="27">
        <v>6644.6981223160428</v>
      </c>
      <c r="Y175" s="27">
        <v>7281.4472138630135</v>
      </c>
      <c r="Z175" s="27">
        <v>4063.5680328970766</v>
      </c>
      <c r="AA175" s="28">
        <f t="shared" si="28"/>
        <v>66794.110844867973</v>
      </c>
      <c r="AB175" s="29"/>
      <c r="AC175" s="27">
        <v>68543.786129665037</v>
      </c>
      <c r="AD175" s="27">
        <v>62157.719098950911</v>
      </c>
      <c r="AE175" s="27">
        <v>68114.177983962407</v>
      </c>
      <c r="AF175" s="27">
        <v>38012.580207368999</v>
      </c>
      <c r="AG175" s="28">
        <f t="shared" si="29"/>
        <v>236828.26341994735</v>
      </c>
      <c r="AH175" s="27">
        <v>60020.11675994403</v>
      </c>
      <c r="AI175" s="27">
        <v>70661.981433692956</v>
      </c>
      <c r="AJ175" s="27">
        <v>109465.2605669456</v>
      </c>
      <c r="AK175" s="27">
        <v>81790.331349670465</v>
      </c>
      <c r="AL175" s="27">
        <v>64168.916640348987</v>
      </c>
      <c r="AM175" s="27">
        <v>70667.819256599716</v>
      </c>
      <c r="AN175" s="27">
        <v>77061.694795209201</v>
      </c>
      <c r="AO175" s="27">
        <v>86162.374221578153</v>
      </c>
      <c r="AP175" s="27">
        <v>112003.49731827292</v>
      </c>
      <c r="AQ175" s="27">
        <v>101568.38887247103</v>
      </c>
      <c r="AR175" s="27">
        <v>111301.49911373711</v>
      </c>
      <c r="AS175" s="27">
        <v>62114.192485116699</v>
      </c>
      <c r="AT175" s="28">
        <f t="shared" si="30"/>
        <v>1006986.0728135868</v>
      </c>
      <c r="AU175" s="30">
        <f t="shared" si="32"/>
        <v>14.872711891868004</v>
      </c>
      <c r="AV175" s="30">
        <f t="shared" si="32"/>
        <v>14.872711891868006</v>
      </c>
      <c r="AW175" s="30">
        <f t="shared" si="32"/>
        <v>14.872711891868001</v>
      </c>
      <c r="AX175" s="30">
        <f t="shared" si="32"/>
        <v>14.872711891867999</v>
      </c>
      <c r="AY175" s="31">
        <f t="shared" si="32"/>
        <v>14.872711891868002</v>
      </c>
      <c r="AZ175" s="30">
        <f t="shared" si="32"/>
        <v>14.697719983603333</v>
      </c>
      <c r="BA175" s="30">
        <f t="shared" si="32"/>
        <v>14.697719983603324</v>
      </c>
      <c r="BB175" s="30">
        <f t="shared" si="32"/>
        <v>14.69771998360333</v>
      </c>
      <c r="BC175" s="30">
        <f t="shared" si="32"/>
        <v>14.697719983603328</v>
      </c>
      <c r="BD175" s="30">
        <f t="shared" si="32"/>
        <v>15.021937972259856</v>
      </c>
      <c r="BE175" s="30">
        <f t="shared" si="32"/>
        <v>15.285628782947455</v>
      </c>
      <c r="BF175" s="30">
        <f t="shared" si="32"/>
        <v>15.285628782947462</v>
      </c>
      <c r="BG175" s="30">
        <f t="shared" si="32"/>
        <v>15.285628782947455</v>
      </c>
      <c r="BH175" s="30">
        <f t="shared" si="32"/>
        <v>15.285628782947462</v>
      </c>
      <c r="BI175" s="30">
        <f t="shared" si="33"/>
        <v>15.285628782947457</v>
      </c>
      <c r="BJ175" s="30">
        <f t="shared" si="33"/>
        <v>15.285628782947466</v>
      </c>
      <c r="BK175" s="30">
        <f t="shared" si="24"/>
        <v>15.285628782947448</v>
      </c>
      <c r="BL175" s="31">
        <f t="shared" si="24"/>
        <v>15.075970921333958</v>
      </c>
    </row>
    <row r="176" spans="2:64" ht="15" x14ac:dyDescent="0.4">
      <c r="B176" t="s">
        <v>279</v>
      </c>
      <c r="C176" s="26">
        <v>60721</v>
      </c>
      <c r="D176" t="s">
        <v>278</v>
      </c>
      <c r="E176" t="s">
        <v>278</v>
      </c>
      <c r="F176" t="s">
        <v>53</v>
      </c>
      <c r="G176" t="s">
        <v>33</v>
      </c>
      <c r="H176" t="s">
        <v>34</v>
      </c>
      <c r="J176" s="27">
        <v>10175.111817272413</v>
      </c>
      <c r="K176" s="27">
        <v>9227.1200330544852</v>
      </c>
      <c r="L176" s="27">
        <v>10111.337824515933</v>
      </c>
      <c r="M176" s="27">
        <v>5642.8492779977969</v>
      </c>
      <c r="N176" s="28">
        <f t="shared" si="27"/>
        <v>35156.418952840628</v>
      </c>
      <c r="O176" s="27">
        <v>6071.3680495035305</v>
      </c>
      <c r="P176" s="27">
        <v>7147.851746224017</v>
      </c>
      <c r="Q176" s="27">
        <v>11073.018871237393</v>
      </c>
      <c r="R176" s="27">
        <v>8273.5461262231511</v>
      </c>
      <c r="S176" s="27">
        <v>6350.9462438803657</v>
      </c>
      <c r="T176" s="27">
        <v>6873.5021869455395</v>
      </c>
      <c r="U176" s="27">
        <v>7495.4021968794868</v>
      </c>
      <c r="V176" s="27">
        <v>8380.5793623542158</v>
      </c>
      <c r="W176" s="27">
        <v>10894.015010811301</v>
      </c>
      <c r="X176" s="27">
        <v>9879.0446681891299</v>
      </c>
      <c r="Y176" s="27">
        <v>10825.73518776217</v>
      </c>
      <c r="Z176" s="27">
        <v>6041.5340727658486</v>
      </c>
      <c r="AA176" s="28">
        <f t="shared" si="28"/>
        <v>99306.543722776143</v>
      </c>
      <c r="AB176" s="29"/>
      <c r="AC176" s="27">
        <v>124354.12556450415</v>
      </c>
      <c r="AD176" s="27">
        <v>112768.33746843232</v>
      </c>
      <c r="AE176" s="27">
        <v>123574.71800167745</v>
      </c>
      <c r="AF176" s="27">
        <v>68963.525930648073</v>
      </c>
      <c r="AG176" s="28">
        <f t="shared" si="29"/>
        <v>429660.70696526201</v>
      </c>
      <c r="AH176" s="27">
        <v>73825.954088936851</v>
      </c>
      <c r="AI176" s="27">
        <v>86915.662260734171</v>
      </c>
      <c r="AJ176" s="27">
        <v>134644.47817172771</v>
      </c>
      <c r="AK176" s="27">
        <v>100603.75709181368</v>
      </c>
      <c r="AL176" s="27">
        <v>79584.522363645694</v>
      </c>
      <c r="AM176" s="27">
        <v>86922.842900645584</v>
      </c>
      <c r="AN176" s="27">
        <v>94787.438763591024</v>
      </c>
      <c r="AO176" s="27">
        <v>105981.45799878247</v>
      </c>
      <c r="AP176" s="27">
        <v>137766.56056653243</v>
      </c>
      <c r="AQ176" s="27">
        <v>124931.16672493002</v>
      </c>
      <c r="AR176" s="27">
        <v>136903.08861718819</v>
      </c>
      <c r="AS176" s="27">
        <v>76401.709463816907</v>
      </c>
      <c r="AT176" s="28">
        <f t="shared" si="30"/>
        <v>1239268.6390123446</v>
      </c>
      <c r="AU176" s="30">
        <f t="shared" si="32"/>
        <v>12.22140137599383</v>
      </c>
      <c r="AV176" s="30">
        <f t="shared" si="32"/>
        <v>12.22140137599383</v>
      </c>
      <c r="AW176" s="30">
        <f t="shared" si="32"/>
        <v>12.221401375993826</v>
      </c>
      <c r="AX176" s="30">
        <f t="shared" si="32"/>
        <v>12.221401375993832</v>
      </c>
      <c r="AY176" s="31">
        <f t="shared" si="32"/>
        <v>12.22140137599383</v>
      </c>
      <c r="AZ176" s="30">
        <f t="shared" si="32"/>
        <v>12.159690120412609</v>
      </c>
      <c r="BA176" s="30">
        <f t="shared" si="32"/>
        <v>12.159690120412606</v>
      </c>
      <c r="BB176" s="30">
        <f t="shared" si="32"/>
        <v>12.159690120412609</v>
      </c>
      <c r="BC176" s="30">
        <f t="shared" si="32"/>
        <v>12.159690120412611</v>
      </c>
      <c r="BD176" s="30">
        <f t="shared" si="32"/>
        <v>12.531128324433798</v>
      </c>
      <c r="BE176" s="30">
        <f t="shared" si="32"/>
        <v>12.646077725229114</v>
      </c>
      <c r="BF176" s="30">
        <f t="shared" si="32"/>
        <v>12.646077725229111</v>
      </c>
      <c r="BG176" s="30">
        <f t="shared" si="32"/>
        <v>12.646077725229116</v>
      </c>
      <c r="BH176" s="30">
        <f t="shared" si="32"/>
        <v>12.646077725229116</v>
      </c>
      <c r="BI176" s="30">
        <f t="shared" si="33"/>
        <v>12.646077725229116</v>
      </c>
      <c r="BJ176" s="30">
        <f t="shared" si="33"/>
        <v>12.646077725229114</v>
      </c>
      <c r="BK176" s="30">
        <f t="shared" si="24"/>
        <v>12.646077725229111</v>
      </c>
      <c r="BL176" s="31">
        <f t="shared" si="24"/>
        <v>12.479224354760381</v>
      </c>
    </row>
    <row r="177" spans="2:64" ht="15" x14ac:dyDescent="0.4">
      <c r="B177" t="s">
        <v>280</v>
      </c>
      <c r="C177" s="32" t="s">
        <v>281</v>
      </c>
      <c r="D177" t="s">
        <v>282</v>
      </c>
      <c r="E177" t="s">
        <v>283</v>
      </c>
      <c r="F177" t="s">
        <v>133</v>
      </c>
      <c r="G177" t="s">
        <v>26</v>
      </c>
      <c r="H177" t="s">
        <v>126</v>
      </c>
      <c r="J177" s="27">
        <v>0</v>
      </c>
      <c r="K177" s="27">
        <v>0</v>
      </c>
      <c r="L177" s="27">
        <v>0</v>
      </c>
      <c r="M177" s="27">
        <v>0</v>
      </c>
      <c r="N177" s="28">
        <f t="shared" si="27"/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  <c r="V177" s="27">
        <v>0</v>
      </c>
      <c r="W177" s="27">
        <v>21308.089354518866</v>
      </c>
      <c r="X177" s="27">
        <v>14949.484517562902</v>
      </c>
      <c r="Y177" s="27">
        <v>7317.8531001538895</v>
      </c>
      <c r="Z177" s="27">
        <v>6300.5778764423621</v>
      </c>
      <c r="AA177" s="28">
        <f t="shared" si="28"/>
        <v>49876.004848678014</v>
      </c>
      <c r="AB177" s="29"/>
      <c r="AC177" s="27">
        <v>0</v>
      </c>
      <c r="AD177" s="27">
        <v>0</v>
      </c>
      <c r="AE177" s="27">
        <v>0</v>
      </c>
      <c r="AF177" s="27">
        <v>0</v>
      </c>
      <c r="AG177" s="28">
        <f t="shared" si="29"/>
        <v>0</v>
      </c>
      <c r="AH177" s="27">
        <v>0</v>
      </c>
      <c r="AI177" s="27">
        <v>0</v>
      </c>
      <c r="AJ177" s="27">
        <v>0</v>
      </c>
      <c r="AK177" s="27">
        <v>0</v>
      </c>
      <c r="AL177" s="27">
        <v>0</v>
      </c>
      <c r="AM177" s="27">
        <v>0</v>
      </c>
      <c r="AN177" s="27">
        <v>0</v>
      </c>
      <c r="AO177" s="27">
        <v>0</v>
      </c>
      <c r="AP177" s="27">
        <v>266875.57980663161</v>
      </c>
      <c r="AQ177" s="27">
        <v>198651.8760970475</v>
      </c>
      <c r="AR177" s="27">
        <v>99084.341597305</v>
      </c>
      <c r="AS177" s="27">
        <v>81313.39271227509</v>
      </c>
      <c r="AT177" s="28">
        <f t="shared" si="30"/>
        <v>645925.19021325931</v>
      </c>
      <c r="AU177" s="30">
        <f t="shared" si="32"/>
        <v>0</v>
      </c>
      <c r="AV177" s="30">
        <f t="shared" si="32"/>
        <v>0</v>
      </c>
      <c r="AW177" s="30">
        <f t="shared" si="32"/>
        <v>0</v>
      </c>
      <c r="AX177" s="30">
        <f t="shared" si="32"/>
        <v>0</v>
      </c>
      <c r="AY177" s="31">
        <f t="shared" si="32"/>
        <v>0</v>
      </c>
      <c r="AZ177" s="30">
        <f t="shared" si="32"/>
        <v>0</v>
      </c>
      <c r="BA177" s="30">
        <f t="shared" si="32"/>
        <v>0</v>
      </c>
      <c r="BB177" s="30">
        <f t="shared" si="32"/>
        <v>0</v>
      </c>
      <c r="BC177" s="30">
        <f t="shared" si="32"/>
        <v>0</v>
      </c>
      <c r="BD177" s="30">
        <f t="shared" si="32"/>
        <v>0</v>
      </c>
      <c r="BE177" s="30">
        <f t="shared" si="32"/>
        <v>0</v>
      </c>
      <c r="BF177" s="30">
        <f t="shared" si="32"/>
        <v>0</v>
      </c>
      <c r="BG177" s="30">
        <f t="shared" si="32"/>
        <v>0</v>
      </c>
      <c r="BH177" s="30">
        <f t="shared" si="32"/>
        <v>12.524613322500196</v>
      </c>
      <c r="BI177" s="30">
        <f t="shared" si="33"/>
        <v>13.288209092672593</v>
      </c>
      <c r="BJ177" s="30">
        <f t="shared" si="33"/>
        <v>13.540083442672731</v>
      </c>
      <c r="BK177" s="30">
        <f t="shared" si="24"/>
        <v>12.905703938094788</v>
      </c>
      <c r="BL177" s="31">
        <f t="shared" si="24"/>
        <v>12.950620086211252</v>
      </c>
    </row>
    <row r="178" spans="2:64" ht="15" x14ac:dyDescent="0.4">
      <c r="B178" t="s">
        <v>284</v>
      </c>
      <c r="C178" s="32">
        <v>54034</v>
      </c>
      <c r="D178" t="s">
        <v>282</v>
      </c>
      <c r="E178" t="s">
        <v>285</v>
      </c>
      <c r="F178" t="s">
        <v>133</v>
      </c>
      <c r="G178" t="s">
        <v>18</v>
      </c>
      <c r="H178" t="s">
        <v>126</v>
      </c>
      <c r="J178" s="27">
        <v>0</v>
      </c>
      <c r="K178" s="27">
        <v>0</v>
      </c>
      <c r="L178" s="27">
        <v>0</v>
      </c>
      <c r="M178" s="27">
        <v>0</v>
      </c>
      <c r="N178" s="28">
        <f t="shared" si="27"/>
        <v>0</v>
      </c>
      <c r="O178" s="27">
        <v>23834.04198542278</v>
      </c>
      <c r="P178" s="27">
        <v>22967.416643619719</v>
      </c>
      <c r="Q178" s="27">
        <v>17613.871882099062</v>
      </c>
      <c r="R178" s="27">
        <v>12664.390935193205</v>
      </c>
      <c r="S178" s="27">
        <v>12584.482509824215</v>
      </c>
      <c r="T178" s="27">
        <v>11542.642756298002</v>
      </c>
      <c r="U178" s="27">
        <v>10521.267922651328</v>
      </c>
      <c r="V178" s="27">
        <v>7223.8394525046415</v>
      </c>
      <c r="W178" s="27">
        <v>8499.6474438403347</v>
      </c>
      <c r="X178" s="27">
        <v>8849.7630551111324</v>
      </c>
      <c r="Y178" s="27">
        <v>7190.6861561846345</v>
      </c>
      <c r="Z178" s="27">
        <v>9153.7928373829109</v>
      </c>
      <c r="AA178" s="28">
        <f t="shared" si="28"/>
        <v>152645.84358013197</v>
      </c>
      <c r="AB178" s="29"/>
      <c r="AC178" s="27">
        <v>0</v>
      </c>
      <c r="AD178" s="27">
        <v>0</v>
      </c>
      <c r="AE178" s="27">
        <v>0</v>
      </c>
      <c r="AF178" s="27">
        <v>0</v>
      </c>
      <c r="AG178" s="28">
        <f t="shared" si="29"/>
        <v>0</v>
      </c>
      <c r="AH178" s="27">
        <v>170208.08672526124</v>
      </c>
      <c r="AI178" s="27">
        <v>180302.27239513464</v>
      </c>
      <c r="AJ178" s="27">
        <v>150157.36083109886</v>
      </c>
      <c r="AK178" s="27">
        <v>98104.436765580031</v>
      </c>
      <c r="AL178" s="27">
        <v>99579.356098010103</v>
      </c>
      <c r="AM178" s="27">
        <v>91469.85439990976</v>
      </c>
      <c r="AN178" s="27">
        <v>83139.744932950431</v>
      </c>
      <c r="AO178" s="27">
        <v>52730.397016169532</v>
      </c>
      <c r="AP178" s="27">
        <v>66311.484036973285</v>
      </c>
      <c r="AQ178" s="27">
        <v>70309.887788766006</v>
      </c>
      <c r="AR178" s="27">
        <v>57188.058040050702</v>
      </c>
      <c r="AS178" s="27">
        <v>73264.645010066844</v>
      </c>
      <c r="AT178" s="28">
        <f t="shared" si="30"/>
        <v>1192765.5840399717</v>
      </c>
      <c r="AU178" s="30">
        <f t="shared" si="32"/>
        <v>0</v>
      </c>
      <c r="AV178" s="30">
        <f t="shared" si="32"/>
        <v>0</v>
      </c>
      <c r="AW178" s="30">
        <f t="shared" si="32"/>
        <v>0</v>
      </c>
      <c r="AX178" s="30">
        <f t="shared" si="32"/>
        <v>0</v>
      </c>
      <c r="AY178" s="31">
        <f t="shared" si="32"/>
        <v>0</v>
      </c>
      <c r="AZ178" s="30">
        <f t="shared" si="32"/>
        <v>7.1413857049241916</v>
      </c>
      <c r="BA178" s="30">
        <f t="shared" si="32"/>
        <v>7.8503505724150342</v>
      </c>
      <c r="BB178" s="30">
        <f t="shared" si="32"/>
        <v>8.5249490762847806</v>
      </c>
      <c r="BC178" s="30">
        <f t="shared" si="32"/>
        <v>7.7464788687908088</v>
      </c>
      <c r="BD178" s="30">
        <f t="shared" si="32"/>
        <v>7.9128685681173128</v>
      </c>
      <c r="BE178" s="30">
        <f t="shared" si="32"/>
        <v>7.9245157570177023</v>
      </c>
      <c r="BF178" s="30">
        <f t="shared" si="32"/>
        <v>7.9020651830335158</v>
      </c>
      <c r="BG178" s="30">
        <f t="shared" si="32"/>
        <v>7.2994973604911593</v>
      </c>
      <c r="BH178" s="30">
        <f t="shared" si="32"/>
        <v>7.8016746547562965</v>
      </c>
      <c r="BI178" s="30">
        <f t="shared" si="33"/>
        <v>7.9448327995808787</v>
      </c>
      <c r="BJ178" s="30">
        <f t="shared" si="33"/>
        <v>7.953073851076625</v>
      </c>
      <c r="BK178" s="30">
        <f t="shared" si="24"/>
        <v>8.0037473331123987</v>
      </c>
      <c r="BL178" s="31">
        <f t="shared" si="24"/>
        <v>7.813940793047701</v>
      </c>
    </row>
    <row r="179" spans="2:64" ht="15" x14ac:dyDescent="0.4">
      <c r="B179" t="s">
        <v>286</v>
      </c>
      <c r="C179" s="32" t="s">
        <v>287</v>
      </c>
      <c r="D179" t="s">
        <v>282</v>
      </c>
      <c r="E179" t="s">
        <v>288</v>
      </c>
      <c r="F179" t="s">
        <v>133</v>
      </c>
      <c r="G179" t="s">
        <v>22</v>
      </c>
      <c r="H179" t="s">
        <v>126</v>
      </c>
      <c r="J179" s="27">
        <v>0</v>
      </c>
      <c r="K179" s="27">
        <v>0</v>
      </c>
      <c r="L179" s="27">
        <v>0</v>
      </c>
      <c r="M179" s="27">
        <v>0</v>
      </c>
      <c r="N179" s="28">
        <f t="shared" si="27"/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23392.257759603614</v>
      </c>
      <c r="T179" s="27">
        <v>20063.716322022006</v>
      </c>
      <c r="U179" s="27">
        <v>10897.287054818888</v>
      </c>
      <c r="V179" s="27">
        <v>5829.3315292473453</v>
      </c>
      <c r="W179" s="27">
        <v>9707.4152641481342</v>
      </c>
      <c r="X179" s="27">
        <v>8638.8709285630175</v>
      </c>
      <c r="Y179" s="27">
        <v>8862.4394133980441</v>
      </c>
      <c r="Z179" s="27">
        <v>8359.3005847058139</v>
      </c>
      <c r="AA179" s="28">
        <f t="shared" si="28"/>
        <v>95750.618856506859</v>
      </c>
      <c r="AB179" s="29"/>
      <c r="AC179" s="27">
        <v>0</v>
      </c>
      <c r="AD179" s="27">
        <v>0</v>
      </c>
      <c r="AE179" s="27">
        <v>0</v>
      </c>
      <c r="AF179" s="27">
        <v>0</v>
      </c>
      <c r="AG179" s="28">
        <f t="shared" si="29"/>
        <v>0</v>
      </c>
      <c r="AH179" s="27">
        <v>0</v>
      </c>
      <c r="AI179" s="27">
        <v>0</v>
      </c>
      <c r="AJ179" s="27">
        <v>0</v>
      </c>
      <c r="AK179" s="27">
        <v>0</v>
      </c>
      <c r="AL179" s="27">
        <v>336848.13954096421</v>
      </c>
      <c r="AM179" s="27">
        <v>297105.62273248989</v>
      </c>
      <c r="AN179" s="27">
        <v>166419.22127636411</v>
      </c>
      <c r="AO179" s="27">
        <v>83356.757851829621</v>
      </c>
      <c r="AP179" s="27">
        <v>142533.18471135473</v>
      </c>
      <c r="AQ179" s="27">
        <v>126417.22706181718</v>
      </c>
      <c r="AR179" s="27">
        <v>129660.09210110012</v>
      </c>
      <c r="AS179" s="27">
        <v>122239.72196876018</v>
      </c>
      <c r="AT179" s="28">
        <f t="shared" si="30"/>
        <v>1404579.96724468</v>
      </c>
      <c r="AU179" s="30">
        <f t="shared" si="32"/>
        <v>0</v>
      </c>
      <c r="AV179" s="30">
        <f t="shared" si="32"/>
        <v>0</v>
      </c>
      <c r="AW179" s="30">
        <f t="shared" si="32"/>
        <v>0</v>
      </c>
      <c r="AX179" s="30">
        <f t="shared" si="32"/>
        <v>0</v>
      </c>
      <c r="AY179" s="31">
        <f t="shared" si="32"/>
        <v>0</v>
      </c>
      <c r="AZ179" s="30">
        <f t="shared" si="32"/>
        <v>0</v>
      </c>
      <c r="BA179" s="30">
        <f t="shared" si="32"/>
        <v>0</v>
      </c>
      <c r="BB179" s="30">
        <f t="shared" si="32"/>
        <v>0</v>
      </c>
      <c r="BC179" s="30">
        <f t="shared" si="32"/>
        <v>0</v>
      </c>
      <c r="BD179" s="30">
        <f t="shared" si="32"/>
        <v>14.399984088866853</v>
      </c>
      <c r="BE179" s="30">
        <f t="shared" si="32"/>
        <v>14.808105236535154</v>
      </c>
      <c r="BF179" s="30">
        <f t="shared" si="32"/>
        <v>15.271619480994758</v>
      </c>
      <c r="BG179" s="30">
        <f t="shared" si="32"/>
        <v>14.299539738579981</v>
      </c>
      <c r="BH179" s="30">
        <f t="shared" si="32"/>
        <v>14.682918246813314</v>
      </c>
      <c r="BI179" s="30">
        <f t="shared" si="33"/>
        <v>14.633535806610935</v>
      </c>
      <c r="BJ179" s="30">
        <f t="shared" si="33"/>
        <v>14.630293765967279</v>
      </c>
      <c r="BK179" s="30">
        <f t="shared" si="33"/>
        <v>14.623199719891652</v>
      </c>
      <c r="BL179" s="31">
        <f t="shared" si="33"/>
        <v>14.66914766733364</v>
      </c>
    </row>
    <row r="180" spans="2:64" ht="15" x14ac:dyDescent="0.4">
      <c r="B180" t="s">
        <v>289</v>
      </c>
      <c r="C180" s="26" t="s">
        <v>290</v>
      </c>
      <c r="D180" t="s">
        <v>282</v>
      </c>
      <c r="E180" t="s">
        <v>282</v>
      </c>
      <c r="F180" t="s">
        <v>133</v>
      </c>
      <c r="G180" t="s">
        <v>18</v>
      </c>
      <c r="H180" t="s">
        <v>126</v>
      </c>
      <c r="J180" s="27">
        <v>0</v>
      </c>
      <c r="K180" s="27">
        <v>0</v>
      </c>
      <c r="L180" s="27">
        <v>0</v>
      </c>
      <c r="M180" s="27">
        <v>0</v>
      </c>
      <c r="N180" s="28">
        <f t="shared" si="27"/>
        <v>0</v>
      </c>
      <c r="O180" s="27">
        <v>183663.54090295255</v>
      </c>
      <c r="P180" s="27">
        <v>163933.1394009506</v>
      </c>
      <c r="Q180" s="27">
        <v>123183.90825448924</v>
      </c>
      <c r="R180" s="27">
        <v>87486.257189196273</v>
      </c>
      <c r="S180" s="27">
        <v>97728.390521040317</v>
      </c>
      <c r="T180" s="27">
        <v>87782.48313449233</v>
      </c>
      <c r="U180" s="27">
        <v>76200.18542763163</v>
      </c>
      <c r="V180" s="27">
        <v>54315.715161734435</v>
      </c>
      <c r="W180" s="27">
        <v>67817.198742985318</v>
      </c>
      <c r="X180" s="27">
        <v>70789.605327995334</v>
      </c>
      <c r="Y180" s="27">
        <v>79147.856830268414</v>
      </c>
      <c r="Z180" s="27">
        <v>69945.306450231568</v>
      </c>
      <c r="AA180" s="28">
        <f t="shared" si="28"/>
        <v>1161993.587343968</v>
      </c>
      <c r="AB180" s="29"/>
      <c r="AC180" s="27">
        <v>0</v>
      </c>
      <c r="AD180" s="27">
        <v>0</v>
      </c>
      <c r="AE180" s="27">
        <v>0</v>
      </c>
      <c r="AF180" s="27">
        <v>0</v>
      </c>
      <c r="AG180" s="28">
        <f t="shared" si="29"/>
        <v>0</v>
      </c>
      <c r="AH180" s="27">
        <v>787806.0783243</v>
      </c>
      <c r="AI180" s="27">
        <v>771830.32523842109</v>
      </c>
      <c r="AJ180" s="27">
        <v>621063.0388514495</v>
      </c>
      <c r="AK180" s="27">
        <v>405148.13941627159</v>
      </c>
      <c r="AL180" s="27">
        <v>462871.87528613821</v>
      </c>
      <c r="AM180" s="27">
        <v>415872.66623642371</v>
      </c>
      <c r="AN180" s="27">
        <v>358607.70207903697</v>
      </c>
      <c r="AO180" s="27">
        <v>238107.84055115824</v>
      </c>
      <c r="AP180" s="27">
        <v>318233.21712299803</v>
      </c>
      <c r="AQ180" s="27">
        <v>337030.16712189757</v>
      </c>
      <c r="AR180" s="27">
        <v>377118.37006563274</v>
      </c>
      <c r="AS180" s="27">
        <v>334426.38893754652</v>
      </c>
      <c r="AT180" s="28">
        <f t="shared" si="30"/>
        <v>5428115.8092312748</v>
      </c>
      <c r="AU180" s="30">
        <f t="shared" si="32"/>
        <v>0</v>
      </c>
      <c r="AV180" s="30">
        <f t="shared" si="32"/>
        <v>0</v>
      </c>
      <c r="AW180" s="30">
        <f t="shared" si="32"/>
        <v>0</v>
      </c>
      <c r="AX180" s="30">
        <f t="shared" si="32"/>
        <v>0</v>
      </c>
      <c r="AY180" s="31">
        <f t="shared" si="32"/>
        <v>0</v>
      </c>
      <c r="AZ180" s="30">
        <f t="shared" si="32"/>
        <v>4.2893982902168659</v>
      </c>
      <c r="BA180" s="30">
        <f t="shared" si="32"/>
        <v>4.7082019417115211</v>
      </c>
      <c r="BB180" s="30">
        <f t="shared" si="32"/>
        <v>5.0417546224331282</v>
      </c>
      <c r="BC180" s="30">
        <f t="shared" si="32"/>
        <v>4.6309917972614283</v>
      </c>
      <c r="BD180" s="30">
        <f t="shared" si="32"/>
        <v>4.7363092016386457</v>
      </c>
      <c r="BE180" s="30">
        <f t="shared" si="32"/>
        <v>4.7375359113419186</v>
      </c>
      <c r="BF180" s="30">
        <f t="shared" si="32"/>
        <v>4.706126370514041</v>
      </c>
      <c r="BG180" s="30">
        <f t="shared" si="32"/>
        <v>4.3837743798852866</v>
      </c>
      <c r="BH180" s="30">
        <f t="shared" si="32"/>
        <v>4.6925149227859331</v>
      </c>
      <c r="BI180" s="30">
        <f t="shared" si="33"/>
        <v>4.7610120943648129</v>
      </c>
      <c r="BJ180" s="30">
        <f t="shared" si="33"/>
        <v>4.7647325545953612</v>
      </c>
      <c r="BK180" s="30">
        <f t="shared" si="33"/>
        <v>4.7812556111324227</v>
      </c>
      <c r="BL180" s="31">
        <f t="shared" si="33"/>
        <v>4.6713818977595345</v>
      </c>
    </row>
    <row r="181" spans="2:64" ht="15" x14ac:dyDescent="0.4">
      <c r="B181" t="s">
        <v>291</v>
      </c>
      <c r="C181" s="26">
        <v>50880</v>
      </c>
      <c r="D181" t="s">
        <v>282</v>
      </c>
      <c r="E181" t="s">
        <v>282</v>
      </c>
      <c r="F181" t="s">
        <v>133</v>
      </c>
      <c r="G181" t="s">
        <v>33</v>
      </c>
      <c r="H181" t="s">
        <v>34</v>
      </c>
      <c r="J181" s="27">
        <v>541424.66803608998</v>
      </c>
      <c r="K181" s="27">
        <v>236618.59832700732</v>
      </c>
      <c r="L181" s="27">
        <v>378277.51861468027</v>
      </c>
      <c r="M181" s="27">
        <v>427400.97443857545</v>
      </c>
      <c r="N181" s="28">
        <f t="shared" si="27"/>
        <v>1583721.759416353</v>
      </c>
      <c r="O181" s="27">
        <v>533782.80018596957</v>
      </c>
      <c r="P181" s="27">
        <v>1141817.3143195512</v>
      </c>
      <c r="Q181" s="27">
        <v>2636653.8453826783</v>
      </c>
      <c r="R181" s="27">
        <v>729777.87932493968</v>
      </c>
      <c r="S181" s="27">
        <v>1310248.1007702297</v>
      </c>
      <c r="T181" s="27">
        <v>1217515.615566479</v>
      </c>
      <c r="U181" s="27">
        <v>813640.85958452441</v>
      </c>
      <c r="V181" s="27">
        <v>561074.72545798903</v>
      </c>
      <c r="W181" s="27">
        <v>337397.66168503877</v>
      </c>
      <c r="X181" s="27">
        <v>147452.76028206793</v>
      </c>
      <c r="Y181" s="27">
        <v>235729.83977912238</v>
      </c>
      <c r="Z181" s="27">
        <v>266341.92693981598</v>
      </c>
      <c r="AA181" s="28">
        <f t="shared" si="28"/>
        <v>9931433.3292784039</v>
      </c>
      <c r="AB181" s="29"/>
      <c r="AC181" s="27">
        <v>3867561.1289978172</v>
      </c>
      <c r="AD181" s="27">
        <v>1690238.6376427177</v>
      </c>
      <c r="AE181" s="27">
        <v>2702151.4041365497</v>
      </c>
      <c r="AF181" s="27">
        <v>3053055.19460417</v>
      </c>
      <c r="AG181" s="28">
        <f t="shared" si="29"/>
        <v>11313006.365381254</v>
      </c>
      <c r="AH181" s="27">
        <v>3256476.2615787829</v>
      </c>
      <c r="AI181" s="27">
        <v>7522839.6801557858</v>
      </c>
      <c r="AJ181" s="27">
        <v>18058962.770160433</v>
      </c>
      <c r="AK181" s="27">
        <v>4305725.2606741851</v>
      </c>
      <c r="AL181" s="27">
        <v>8506049.8355748355</v>
      </c>
      <c r="AM181" s="27">
        <v>7880129.7351757586</v>
      </c>
      <c r="AN181" s="27">
        <v>5177034.7260805322</v>
      </c>
      <c r="AO181" s="27">
        <v>4266758.8780570002</v>
      </c>
      <c r="AP181" s="27">
        <v>2565780.2839990947</v>
      </c>
      <c r="AQ181" s="27">
        <v>1121321.894359028</v>
      </c>
      <c r="AR181" s="27">
        <v>1792635.3497379825</v>
      </c>
      <c r="AS181" s="27">
        <v>2025428.5744945027</v>
      </c>
      <c r="AT181" s="28">
        <f t="shared" si="30"/>
        <v>66479143.250047922</v>
      </c>
      <c r="AU181" s="30">
        <f t="shared" si="32"/>
        <v>7.1433042440172221</v>
      </c>
      <c r="AV181" s="30">
        <f t="shared" si="32"/>
        <v>7.1433042440172221</v>
      </c>
      <c r="AW181" s="30">
        <f t="shared" si="32"/>
        <v>7.143304244017223</v>
      </c>
      <c r="AX181" s="30">
        <f t="shared" si="32"/>
        <v>7.1433042440172168</v>
      </c>
      <c r="AY181" s="31">
        <f t="shared" si="32"/>
        <v>7.1433042440172203</v>
      </c>
      <c r="AZ181" s="30">
        <f t="shared" si="32"/>
        <v>6.1007515799389358</v>
      </c>
      <c r="BA181" s="30">
        <f t="shared" si="32"/>
        <v>6.588479247784842</v>
      </c>
      <c r="BB181" s="30">
        <f t="shared" si="32"/>
        <v>6.849197440834101</v>
      </c>
      <c r="BC181" s="30">
        <f t="shared" si="32"/>
        <v>5.9000490185548982</v>
      </c>
      <c r="BD181" s="30">
        <f t="shared" si="32"/>
        <v>6.4919383058632576</v>
      </c>
      <c r="BE181" s="30">
        <f t="shared" si="32"/>
        <v>6.4723028061609993</v>
      </c>
      <c r="BF181" s="30">
        <f t="shared" si="32"/>
        <v>6.3628008169650192</v>
      </c>
      <c r="BG181" s="30">
        <f t="shared" si="32"/>
        <v>7.6046178600794549</v>
      </c>
      <c r="BH181" s="30">
        <f t="shared" si="32"/>
        <v>7.6046178600794647</v>
      </c>
      <c r="BI181" s="30">
        <f t="shared" si="33"/>
        <v>7.6046178600794532</v>
      </c>
      <c r="BJ181" s="30">
        <f t="shared" si="33"/>
        <v>7.6046178600794549</v>
      </c>
      <c r="BK181" s="30">
        <f t="shared" si="33"/>
        <v>7.6046178600794576</v>
      </c>
      <c r="BL181" s="31">
        <f t="shared" si="33"/>
        <v>6.6938115623314713</v>
      </c>
    </row>
    <row r="182" spans="2:64" ht="15" x14ac:dyDescent="0.4">
      <c r="B182" t="s">
        <v>292</v>
      </c>
      <c r="C182" s="26">
        <v>51870</v>
      </c>
      <c r="D182" t="s">
        <v>282</v>
      </c>
      <c r="E182" t="s">
        <v>282</v>
      </c>
      <c r="F182" t="s">
        <v>133</v>
      </c>
      <c r="G182" t="s">
        <v>33</v>
      </c>
      <c r="H182" t="s">
        <v>34</v>
      </c>
      <c r="J182" s="27">
        <v>2871.5091817056846</v>
      </c>
      <c r="K182" s="27">
        <v>1254.9344678418686</v>
      </c>
      <c r="L182" s="27">
        <v>2006.2391539620262</v>
      </c>
      <c r="M182" s="27">
        <v>2266.7711591754028</v>
      </c>
      <c r="N182" s="28">
        <f t="shared" si="27"/>
        <v>8399.4539626849819</v>
      </c>
      <c r="O182" s="27">
        <v>611.49186268158439</v>
      </c>
      <c r="P182" s="27">
        <v>1412.6174672138329</v>
      </c>
      <c r="Q182" s="27">
        <v>3391.0607341780642</v>
      </c>
      <c r="R182" s="27">
        <v>808.51685943760958</v>
      </c>
      <c r="S182" s="27">
        <v>1556.6155685108445</v>
      </c>
      <c r="T182" s="27">
        <v>1422.7965181695611</v>
      </c>
      <c r="U182" s="27">
        <v>934.73930382517892</v>
      </c>
      <c r="V182" s="27">
        <v>770.38448345205529</v>
      </c>
      <c r="W182" s="27">
        <v>463.2643594897101</v>
      </c>
      <c r="X182" s="27">
        <v>202.46023106949986</v>
      </c>
      <c r="Y182" s="27">
        <v>323.66920592303961</v>
      </c>
      <c r="Z182" s="27">
        <v>365.70117757428488</v>
      </c>
      <c r="AA182" s="28">
        <f t="shared" si="28"/>
        <v>12263.317771525266</v>
      </c>
      <c r="AB182" s="29"/>
      <c r="AC182" s="27">
        <v>193678.68680194413</v>
      </c>
      <c r="AD182" s="27">
        <v>84643.316240324522</v>
      </c>
      <c r="AE182" s="27">
        <v>135317.61180690353</v>
      </c>
      <c r="AF182" s="27">
        <v>152890.07751973488</v>
      </c>
      <c r="AG182" s="28">
        <f t="shared" si="29"/>
        <v>566529.69236890704</v>
      </c>
      <c r="AH182" s="27">
        <v>43204.846760988716</v>
      </c>
      <c r="AI182" s="27">
        <v>99808.231192522246</v>
      </c>
      <c r="AJ182" s="27">
        <v>239594.7817439065</v>
      </c>
      <c r="AK182" s="27">
        <v>57125.612207643484</v>
      </c>
      <c r="AL182" s="27">
        <v>110272.15869834393</v>
      </c>
      <c r="AM182" s="27">
        <v>104548.52740118535</v>
      </c>
      <c r="AN182" s="27">
        <v>68685.589591304655</v>
      </c>
      <c r="AO182" s="27">
        <v>56608.631135289768</v>
      </c>
      <c r="AP182" s="27">
        <v>34041.133755663643</v>
      </c>
      <c r="AQ182" s="27">
        <v>14876.982579948493</v>
      </c>
      <c r="AR182" s="27">
        <v>23783.540662511008</v>
      </c>
      <c r="AS182" s="27">
        <v>26872.09245736602</v>
      </c>
      <c r="AT182" s="28">
        <f t="shared" si="30"/>
        <v>879422.12818667386</v>
      </c>
      <c r="AU182" s="30">
        <f t="shared" si="32"/>
        <v>67.448395441625735</v>
      </c>
      <c r="AV182" s="30">
        <f t="shared" si="32"/>
        <v>67.448395441625749</v>
      </c>
      <c r="AW182" s="30">
        <f t="shared" si="32"/>
        <v>67.448395441625806</v>
      </c>
      <c r="AX182" s="30">
        <f t="shared" si="32"/>
        <v>67.448395441625721</v>
      </c>
      <c r="AY182" s="31">
        <f t="shared" si="32"/>
        <v>67.448395441625749</v>
      </c>
      <c r="AZ182" s="30">
        <f t="shared" si="32"/>
        <v>70.654818809071074</v>
      </c>
      <c r="BA182" s="30">
        <f t="shared" si="32"/>
        <v>70.65481880907106</v>
      </c>
      <c r="BB182" s="30">
        <f t="shared" si="32"/>
        <v>70.654818809071031</v>
      </c>
      <c r="BC182" s="30">
        <f t="shared" si="32"/>
        <v>70.65481880907106</v>
      </c>
      <c r="BD182" s="30">
        <f t="shared" si="32"/>
        <v>70.840971225693934</v>
      </c>
      <c r="BE182" s="30">
        <f t="shared" si="32"/>
        <v>73.481011561433846</v>
      </c>
      <c r="BF182" s="30">
        <f t="shared" si="32"/>
        <v>73.481011561433903</v>
      </c>
      <c r="BG182" s="30">
        <f t="shared" si="32"/>
        <v>73.481011561433917</v>
      </c>
      <c r="BH182" s="30">
        <f t="shared" si="32"/>
        <v>73.48101156143386</v>
      </c>
      <c r="BI182" s="30">
        <f t="shared" si="33"/>
        <v>73.481011561433874</v>
      </c>
      <c r="BJ182" s="30">
        <f t="shared" si="33"/>
        <v>73.481011561433917</v>
      </c>
      <c r="BK182" s="30">
        <f t="shared" si="33"/>
        <v>73.481011561433903</v>
      </c>
      <c r="BL182" s="31">
        <f t="shared" si="33"/>
        <v>71.711599142333455</v>
      </c>
    </row>
    <row r="183" spans="2:64" ht="15" x14ac:dyDescent="0.4">
      <c r="B183" t="s">
        <v>293</v>
      </c>
      <c r="C183" s="26">
        <v>52010</v>
      </c>
      <c r="D183" t="s">
        <v>282</v>
      </c>
      <c r="E183" t="s">
        <v>282</v>
      </c>
      <c r="F183" t="s">
        <v>133</v>
      </c>
      <c r="G183" t="s">
        <v>33</v>
      </c>
      <c r="H183" t="s">
        <v>34</v>
      </c>
      <c r="J183" s="27">
        <v>4518.278583735666</v>
      </c>
      <c r="K183" s="27">
        <v>1974.6214172554214</v>
      </c>
      <c r="L183" s="27">
        <v>3156.7885838394241</v>
      </c>
      <c r="M183" s="27">
        <v>3566.731963798969</v>
      </c>
      <c r="N183" s="28">
        <f t="shared" si="27"/>
        <v>13216.42054862948</v>
      </c>
      <c r="O183" s="27">
        <v>2092.9737942494216</v>
      </c>
      <c r="P183" s="27">
        <v>4835.0133838446372</v>
      </c>
      <c r="Q183" s="27">
        <v>11606.697790251128</v>
      </c>
      <c r="R183" s="27">
        <v>2767.3378867069659</v>
      </c>
      <c r="S183" s="27">
        <v>5327.8805351991159</v>
      </c>
      <c r="T183" s="27">
        <v>4869.8535643946052</v>
      </c>
      <c r="U183" s="27">
        <v>3199.3636984500272</v>
      </c>
      <c r="V183" s="27">
        <v>2636.8209190726989</v>
      </c>
      <c r="W183" s="27">
        <v>1585.6305265775811</v>
      </c>
      <c r="X183" s="27">
        <v>692.96745200810267</v>
      </c>
      <c r="Y183" s="27">
        <v>1107.8334927168014</v>
      </c>
      <c r="Z183" s="27">
        <v>1251.6977377795338</v>
      </c>
      <c r="AA183" s="28">
        <f t="shared" si="28"/>
        <v>41974.070781250623</v>
      </c>
      <c r="AB183" s="29"/>
      <c r="AC183" s="27">
        <v>511594.90960559779</v>
      </c>
      <c r="AD183" s="27">
        <v>223582.11136039227</v>
      </c>
      <c r="AE183" s="27">
        <v>357436.34224033402</v>
      </c>
      <c r="AF183" s="27">
        <v>403853.34431912535</v>
      </c>
      <c r="AG183" s="28">
        <f t="shared" si="29"/>
        <v>1496466.7075254496</v>
      </c>
      <c r="AH183" s="27">
        <v>255076.68784479532</v>
      </c>
      <c r="AI183" s="27">
        <v>589256.87604159792</v>
      </c>
      <c r="AJ183" s="27">
        <v>1414541.375189309</v>
      </c>
      <c r="AK183" s="27">
        <v>337263.3638453036</v>
      </c>
      <c r="AL183" s="27">
        <v>661482.95918485476</v>
      </c>
      <c r="AM183" s="27">
        <v>617243.06617896992</v>
      </c>
      <c r="AN183" s="27">
        <v>405512.20543701836</v>
      </c>
      <c r="AO183" s="27">
        <v>334211.16416169034</v>
      </c>
      <c r="AP183" s="27">
        <v>200975.1289458719</v>
      </c>
      <c r="AQ183" s="27">
        <v>87832.077327130421</v>
      </c>
      <c r="AR183" s="27">
        <v>140415.42169970402</v>
      </c>
      <c r="AS183" s="27">
        <v>158649.89355021098</v>
      </c>
      <c r="AT183" s="28">
        <f t="shared" si="30"/>
        <v>5202460.2194064567</v>
      </c>
      <c r="AU183" s="30">
        <f t="shared" si="32"/>
        <v>113.22783669142783</v>
      </c>
      <c r="AV183" s="30">
        <f t="shared" si="32"/>
        <v>113.22783669142765</v>
      </c>
      <c r="AW183" s="30">
        <f t="shared" si="32"/>
        <v>113.22783669142783</v>
      </c>
      <c r="AX183" s="30">
        <f t="shared" si="32"/>
        <v>113.22783669142783</v>
      </c>
      <c r="AY183" s="31">
        <f t="shared" si="32"/>
        <v>113.22783669142783</v>
      </c>
      <c r="AZ183" s="30">
        <f t="shared" si="32"/>
        <v>121.87285313635303</v>
      </c>
      <c r="BA183" s="30">
        <f t="shared" si="32"/>
        <v>121.87285313635286</v>
      </c>
      <c r="BB183" s="30">
        <f t="shared" si="32"/>
        <v>121.87285313635303</v>
      </c>
      <c r="BC183" s="30">
        <f t="shared" si="32"/>
        <v>121.87285313635302</v>
      </c>
      <c r="BD183" s="30">
        <f t="shared" si="32"/>
        <v>124.1549908663884</v>
      </c>
      <c r="BE183" s="30">
        <f t="shared" si="32"/>
        <v>126.74776726180725</v>
      </c>
      <c r="BF183" s="30">
        <f t="shared" si="32"/>
        <v>126.74776726180707</v>
      </c>
      <c r="BG183" s="30">
        <f t="shared" si="32"/>
        <v>126.74776726180696</v>
      </c>
      <c r="BH183" s="30">
        <f t="shared" si="32"/>
        <v>126.7477672618071</v>
      </c>
      <c r="BI183" s="30">
        <f t="shared" si="33"/>
        <v>126.74776726180701</v>
      </c>
      <c r="BJ183" s="30">
        <f t="shared" si="33"/>
        <v>126.7477672618071</v>
      </c>
      <c r="BK183" s="30">
        <f t="shared" si="33"/>
        <v>126.74776726180724</v>
      </c>
      <c r="BL183" s="31">
        <f t="shared" si="33"/>
        <v>123.94461920358559</v>
      </c>
    </row>
    <row r="184" spans="2:64" ht="15" x14ac:dyDescent="0.4">
      <c r="B184" t="s">
        <v>294</v>
      </c>
      <c r="C184" s="26">
        <v>50065</v>
      </c>
      <c r="D184" t="s">
        <v>282</v>
      </c>
      <c r="E184" t="s">
        <v>282</v>
      </c>
      <c r="F184" t="s">
        <v>133</v>
      </c>
      <c r="G184" t="s">
        <v>33</v>
      </c>
      <c r="H184" t="s">
        <v>34</v>
      </c>
      <c r="J184" s="27">
        <v>13962.52621384048</v>
      </c>
      <c r="K184" s="27">
        <v>6102.0370457202935</v>
      </c>
      <c r="L184" s="27">
        <v>9755.2071074307532</v>
      </c>
      <c r="M184" s="27">
        <v>11022.026999740958</v>
      </c>
      <c r="N184" s="28">
        <f t="shared" si="27"/>
        <v>40841.797366732484</v>
      </c>
      <c r="O184" s="27">
        <v>5066.8067212745918</v>
      </c>
      <c r="P184" s="27">
        <v>11704.914021392236</v>
      </c>
      <c r="Q184" s="27">
        <v>28098.246875822559</v>
      </c>
      <c r="R184" s="27">
        <v>6699.3510587326973</v>
      </c>
      <c r="S184" s="27">
        <v>12898.078791080099</v>
      </c>
      <c r="T184" s="27">
        <v>11789.257390366116</v>
      </c>
      <c r="U184" s="27">
        <v>7745.2271670328792</v>
      </c>
      <c r="V184" s="27">
        <v>6383.3871175373215</v>
      </c>
      <c r="W184" s="27">
        <v>3838.5972302164546</v>
      </c>
      <c r="X184" s="27">
        <v>1677.5805569597835</v>
      </c>
      <c r="Y184" s="27">
        <v>2681.9151784762671</v>
      </c>
      <c r="Z184" s="27">
        <v>3030.1910746378599</v>
      </c>
      <c r="AA184" s="28">
        <f t="shared" si="28"/>
        <v>101613.55318352887</v>
      </c>
      <c r="AB184" s="29"/>
      <c r="AC184" s="27">
        <v>190974.38093490951</v>
      </c>
      <c r="AD184" s="27">
        <v>83461.454567810841</v>
      </c>
      <c r="AE184" s="27">
        <v>133428.19269959218</v>
      </c>
      <c r="AF184" s="27">
        <v>150755.29676262019</v>
      </c>
      <c r="AG184" s="28">
        <f t="shared" si="29"/>
        <v>558619.32496493275</v>
      </c>
      <c r="AH184" s="27">
        <v>71128.385097698498</v>
      </c>
      <c r="AI184" s="27">
        <v>164314.85901234526</v>
      </c>
      <c r="AJ184" s="27">
        <v>394446.25269837695</v>
      </c>
      <c r="AK184" s="27">
        <v>94046.220474410235</v>
      </c>
      <c r="AL184" s="27">
        <v>187592.80712363703</v>
      </c>
      <c r="AM184" s="27">
        <v>172118.83563728715</v>
      </c>
      <c r="AN184" s="27">
        <v>113077.47702797284</v>
      </c>
      <c r="AO184" s="27">
        <v>93195.111592899309</v>
      </c>
      <c r="AP184" s="27">
        <v>56042.112227125908</v>
      </c>
      <c r="AQ184" s="27">
        <v>24492.061085002962</v>
      </c>
      <c r="AR184" s="27">
        <v>39154.978342784889</v>
      </c>
      <c r="AS184" s="27">
        <v>44239.678739338466</v>
      </c>
      <c r="AT184" s="28">
        <f t="shared" si="30"/>
        <v>1453848.7790588792</v>
      </c>
      <c r="AU184" s="30">
        <f t="shared" si="32"/>
        <v>13.677638130097435</v>
      </c>
      <c r="AV184" s="30">
        <f t="shared" si="32"/>
        <v>13.67763813009741</v>
      </c>
      <c r="AW184" s="30">
        <f t="shared" si="32"/>
        <v>13.677638130097415</v>
      </c>
      <c r="AX184" s="30">
        <f t="shared" si="32"/>
        <v>13.677638130097419</v>
      </c>
      <c r="AY184" s="31">
        <f t="shared" si="32"/>
        <v>13.677638130097423</v>
      </c>
      <c r="AZ184" s="30">
        <f t="shared" si="32"/>
        <v>14.038109012337783</v>
      </c>
      <c r="BA184" s="30">
        <f t="shared" si="32"/>
        <v>14.038109012337785</v>
      </c>
      <c r="BB184" s="30">
        <f t="shared" si="32"/>
        <v>14.038109012337795</v>
      </c>
      <c r="BC184" s="30">
        <f t="shared" si="32"/>
        <v>14.038109012337797</v>
      </c>
      <c r="BD184" s="30">
        <f t="shared" si="32"/>
        <v>14.544244159321638</v>
      </c>
      <c r="BE184" s="30">
        <f t="shared" si="32"/>
        <v>14.599633372831297</v>
      </c>
      <c r="BF184" s="30">
        <f t="shared" si="32"/>
        <v>14.599633372831299</v>
      </c>
      <c r="BG184" s="30">
        <f t="shared" si="32"/>
        <v>14.599633372831306</v>
      </c>
      <c r="BH184" s="30">
        <f t="shared" si="32"/>
        <v>14.59963337283129</v>
      </c>
      <c r="BI184" s="30">
        <f t="shared" si="33"/>
        <v>14.599633372831292</v>
      </c>
      <c r="BJ184" s="30">
        <f t="shared" si="33"/>
        <v>14.599633372831288</v>
      </c>
      <c r="BK184" s="30">
        <f t="shared" si="33"/>
        <v>14.599633372831308</v>
      </c>
      <c r="BL184" s="31">
        <f t="shared" si="33"/>
        <v>14.307626625682666</v>
      </c>
    </row>
    <row r="185" spans="2:64" ht="15" x14ac:dyDescent="0.4">
      <c r="B185" t="s">
        <v>295</v>
      </c>
      <c r="C185" s="26">
        <v>53883</v>
      </c>
      <c r="D185" t="s">
        <v>282</v>
      </c>
      <c r="E185" t="s">
        <v>296</v>
      </c>
      <c r="F185" t="s">
        <v>133</v>
      </c>
      <c r="G185" t="s">
        <v>33</v>
      </c>
      <c r="H185" t="s">
        <v>34</v>
      </c>
      <c r="J185" s="27">
        <v>865.49265735990866</v>
      </c>
      <c r="K185" s="27">
        <v>378.24589742033567</v>
      </c>
      <c r="L185" s="27">
        <v>604.69430769177302</v>
      </c>
      <c r="M185" s="27">
        <v>683.22044960906578</v>
      </c>
      <c r="N185" s="28">
        <f t="shared" si="27"/>
        <v>2531.6533120810832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  <c r="V185" s="27">
        <v>0</v>
      </c>
      <c r="W185" s="27">
        <v>0</v>
      </c>
      <c r="X185" s="27">
        <v>0</v>
      </c>
      <c r="Y185" s="27">
        <v>0</v>
      </c>
      <c r="Z185" s="27">
        <v>0</v>
      </c>
      <c r="AA185" s="28">
        <f t="shared" si="28"/>
        <v>0</v>
      </c>
      <c r="AB185" s="29"/>
      <c r="AC185" s="27">
        <v>5073.2094412925671</v>
      </c>
      <c r="AD185" s="27">
        <v>2217.1426199922807</v>
      </c>
      <c r="AE185" s="27">
        <v>3544.5024805127641</v>
      </c>
      <c r="AF185" s="27">
        <v>4004.7947327639845</v>
      </c>
      <c r="AG185" s="28">
        <f t="shared" si="29"/>
        <v>14839.649274561598</v>
      </c>
      <c r="AH185" s="27">
        <v>0</v>
      </c>
      <c r="AI185" s="27">
        <v>0</v>
      </c>
      <c r="AJ185" s="27">
        <v>0</v>
      </c>
      <c r="AK185" s="27">
        <v>0</v>
      </c>
      <c r="AL185" s="27">
        <v>0</v>
      </c>
      <c r="AM185" s="27">
        <v>0</v>
      </c>
      <c r="AN185" s="27">
        <v>0</v>
      </c>
      <c r="AO185" s="27">
        <v>0</v>
      </c>
      <c r="AP185" s="27">
        <v>0</v>
      </c>
      <c r="AQ185" s="27">
        <v>0</v>
      </c>
      <c r="AR185" s="27">
        <v>0</v>
      </c>
      <c r="AS185" s="27">
        <v>0</v>
      </c>
      <c r="AT185" s="28">
        <f t="shared" si="30"/>
        <v>0</v>
      </c>
      <c r="AU185" s="30">
        <f t="shared" si="32"/>
        <v>5.8616435369513606</v>
      </c>
      <c r="AV185" s="30">
        <f t="shared" si="32"/>
        <v>5.8616435369513678</v>
      </c>
      <c r="AW185" s="30">
        <f t="shared" si="32"/>
        <v>5.8616435369513695</v>
      </c>
      <c r="AX185" s="30">
        <f t="shared" si="32"/>
        <v>5.8616435369513624</v>
      </c>
      <c r="AY185" s="31">
        <f t="shared" si="32"/>
        <v>5.8616435369513651</v>
      </c>
      <c r="AZ185" s="30">
        <f t="shared" ref="AZ185:BH247" si="34">IFERROR(AH185/O185,0)</f>
        <v>0</v>
      </c>
      <c r="BA185" s="30">
        <f t="shared" si="34"/>
        <v>0</v>
      </c>
      <c r="BB185" s="30">
        <f t="shared" si="34"/>
        <v>0</v>
      </c>
      <c r="BC185" s="30">
        <f t="shared" si="34"/>
        <v>0</v>
      </c>
      <c r="BD185" s="30">
        <f t="shared" si="34"/>
        <v>0</v>
      </c>
      <c r="BE185" s="30">
        <f t="shared" si="34"/>
        <v>0</v>
      </c>
      <c r="BF185" s="30">
        <f t="shared" si="34"/>
        <v>0</v>
      </c>
      <c r="BG185" s="30">
        <f t="shared" si="34"/>
        <v>0</v>
      </c>
      <c r="BH185" s="30">
        <f t="shared" si="34"/>
        <v>0</v>
      </c>
      <c r="BI185" s="30">
        <f t="shared" si="33"/>
        <v>0</v>
      </c>
      <c r="BJ185" s="30">
        <f t="shared" si="33"/>
        <v>0</v>
      </c>
      <c r="BK185" s="30">
        <f t="shared" si="33"/>
        <v>0</v>
      </c>
      <c r="BL185" s="31">
        <f t="shared" si="33"/>
        <v>0</v>
      </c>
    </row>
    <row r="186" spans="2:64" ht="15" x14ac:dyDescent="0.4">
      <c r="B186" t="s">
        <v>297</v>
      </c>
      <c r="C186" s="26">
        <v>53332</v>
      </c>
      <c r="D186" t="s">
        <v>282</v>
      </c>
      <c r="E186" t="s">
        <v>296</v>
      </c>
      <c r="F186" t="s">
        <v>133</v>
      </c>
      <c r="G186" t="s">
        <v>33</v>
      </c>
      <c r="H186" t="s">
        <v>34</v>
      </c>
      <c r="J186" s="27">
        <v>3638.5983148354549</v>
      </c>
      <c r="K186" s="27">
        <v>1590.1751138424052</v>
      </c>
      <c r="L186" s="27">
        <v>2542.1818085314226</v>
      </c>
      <c r="M186" s="27">
        <v>2872.311804691486</v>
      </c>
      <c r="N186" s="28">
        <f t="shared" si="27"/>
        <v>10643.267041900768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  <c r="V186" s="27">
        <v>0</v>
      </c>
      <c r="W186" s="27">
        <v>0</v>
      </c>
      <c r="X186" s="27">
        <v>0</v>
      </c>
      <c r="Y186" s="27">
        <v>0</v>
      </c>
      <c r="Z186" s="27">
        <v>0</v>
      </c>
      <c r="AA186" s="28">
        <f t="shared" si="28"/>
        <v>0</v>
      </c>
      <c r="AB186" s="29"/>
      <c r="AC186" s="27">
        <v>164556.10702460367</v>
      </c>
      <c r="AD186" s="27">
        <v>71915.887267469836</v>
      </c>
      <c r="AE186" s="27">
        <v>114970.52039381697</v>
      </c>
      <c r="AF186" s="27">
        <v>129900.69467511961</v>
      </c>
      <c r="AG186" s="28">
        <f t="shared" si="29"/>
        <v>481343.20936101006</v>
      </c>
      <c r="AH186" s="27">
        <v>0</v>
      </c>
      <c r="AI186" s="27">
        <v>0</v>
      </c>
      <c r="AJ186" s="27">
        <v>0</v>
      </c>
      <c r="AK186" s="27">
        <v>0</v>
      </c>
      <c r="AL186" s="27">
        <v>0</v>
      </c>
      <c r="AM186" s="27">
        <v>0</v>
      </c>
      <c r="AN186" s="27">
        <v>0</v>
      </c>
      <c r="AO186" s="27">
        <v>0</v>
      </c>
      <c r="AP186" s="27">
        <v>0</v>
      </c>
      <c r="AQ186" s="27">
        <v>0</v>
      </c>
      <c r="AR186" s="27">
        <v>0</v>
      </c>
      <c r="AS186" s="27">
        <v>0</v>
      </c>
      <c r="AT186" s="28">
        <f t="shared" si="30"/>
        <v>0</v>
      </c>
      <c r="AU186" s="30">
        <f t="shared" ref="AU186:BB248" si="35">IFERROR(AC186/J186,0)</f>
        <v>45.225136930797824</v>
      </c>
      <c r="AV186" s="30">
        <f t="shared" si="35"/>
        <v>45.225136930797852</v>
      </c>
      <c r="AW186" s="30">
        <f t="shared" si="35"/>
        <v>45.225136930797873</v>
      </c>
      <c r="AX186" s="30">
        <f t="shared" si="35"/>
        <v>45.225136930797873</v>
      </c>
      <c r="AY186" s="31">
        <f t="shared" si="35"/>
        <v>45.225136930797852</v>
      </c>
      <c r="AZ186" s="30">
        <f t="shared" si="34"/>
        <v>0</v>
      </c>
      <c r="BA186" s="30">
        <f t="shared" si="34"/>
        <v>0</v>
      </c>
      <c r="BB186" s="30">
        <f t="shared" si="34"/>
        <v>0</v>
      </c>
      <c r="BC186" s="30">
        <f t="shared" si="34"/>
        <v>0</v>
      </c>
      <c r="BD186" s="30">
        <f t="shared" si="34"/>
        <v>0</v>
      </c>
      <c r="BE186" s="30">
        <f t="shared" si="34"/>
        <v>0</v>
      </c>
      <c r="BF186" s="30">
        <f t="shared" si="34"/>
        <v>0</v>
      </c>
      <c r="BG186" s="30">
        <f t="shared" si="34"/>
        <v>0</v>
      </c>
      <c r="BH186" s="30">
        <f t="shared" si="34"/>
        <v>0</v>
      </c>
      <c r="BI186" s="30">
        <f t="shared" si="33"/>
        <v>0</v>
      </c>
      <c r="BJ186" s="30">
        <f t="shared" si="33"/>
        <v>0</v>
      </c>
      <c r="BK186" s="30">
        <f t="shared" si="33"/>
        <v>0</v>
      </c>
      <c r="BL186" s="31">
        <f t="shared" si="33"/>
        <v>0</v>
      </c>
    </row>
    <row r="187" spans="2:64" ht="15" x14ac:dyDescent="0.4">
      <c r="B187" t="s">
        <v>298</v>
      </c>
      <c r="C187" s="26">
        <v>51401</v>
      </c>
      <c r="D187" t="s">
        <v>282</v>
      </c>
      <c r="E187" t="s">
        <v>296</v>
      </c>
      <c r="F187" t="s">
        <v>133</v>
      </c>
      <c r="G187" t="s">
        <v>33</v>
      </c>
      <c r="H187" t="s">
        <v>34</v>
      </c>
      <c r="J187" s="27">
        <v>1346.7773438591105</v>
      </c>
      <c r="K187" s="27">
        <v>588.58154453588895</v>
      </c>
      <c r="L187" s="27">
        <v>940.95378699578373</v>
      </c>
      <c r="M187" s="27">
        <v>1063.1468846905414</v>
      </c>
      <c r="N187" s="28">
        <f t="shared" si="27"/>
        <v>3939.4595600813245</v>
      </c>
      <c r="O187" s="27">
        <v>910.16471649046764</v>
      </c>
      <c r="P187" s="27">
        <v>2102.5865674121947</v>
      </c>
      <c r="Q187" s="27">
        <v>5047.3669726203652</v>
      </c>
      <c r="R187" s="27">
        <v>1203.4232392246631</v>
      </c>
      <c r="S187" s="27">
        <v>2316.9181048220485</v>
      </c>
      <c r="T187" s="27">
        <v>2117.7374035764478</v>
      </c>
      <c r="U187" s="27">
        <v>1391.2969008739735</v>
      </c>
      <c r="V187" s="27">
        <v>1146.6657493934836</v>
      </c>
      <c r="W187" s="27">
        <v>689.5379973922071</v>
      </c>
      <c r="X187" s="27">
        <v>301.34850528325035</v>
      </c>
      <c r="Y187" s="27">
        <v>481.75995303315801</v>
      </c>
      <c r="Z187" s="27">
        <v>544.32173005129584</v>
      </c>
      <c r="AA187" s="28">
        <f t="shared" si="28"/>
        <v>18253.127840173554</v>
      </c>
      <c r="AB187" s="29"/>
      <c r="AC187" s="27">
        <v>76056.683135526589</v>
      </c>
      <c r="AD187" s="27">
        <v>33239.020715860759</v>
      </c>
      <c r="AE187" s="27">
        <v>53138.571382292837</v>
      </c>
      <c r="AF187" s="27">
        <v>60039.193638150195</v>
      </c>
      <c r="AG187" s="28">
        <f t="shared" si="29"/>
        <v>222473.46887183038</v>
      </c>
      <c r="AH187" s="27">
        <v>53743.582248583523</v>
      </c>
      <c r="AI187" s="27">
        <v>124153.93837305228</v>
      </c>
      <c r="AJ187" s="27">
        <v>298037.90140072675</v>
      </c>
      <c r="AK187" s="27">
        <v>71059.968229173697</v>
      </c>
      <c r="AL187" s="27">
        <v>138726.939149718</v>
      </c>
      <c r="AM187" s="27">
        <v>130050.51059288406</v>
      </c>
      <c r="AN187" s="27">
        <v>85439.711287805039</v>
      </c>
      <c r="AO187" s="27">
        <v>70416.882629618078</v>
      </c>
      <c r="AP187" s="27">
        <v>42344.611981923779</v>
      </c>
      <c r="AQ187" s="27">
        <v>18505.848228540497</v>
      </c>
      <c r="AR187" s="27">
        <v>29584.937098129882</v>
      </c>
      <c r="AS187" s="27">
        <v>33426.863406399505</v>
      </c>
      <c r="AT187" s="28">
        <f t="shared" si="30"/>
        <v>1095491.6946265551</v>
      </c>
      <c r="AU187" s="30">
        <f t="shared" si="35"/>
        <v>56.473093702029978</v>
      </c>
      <c r="AV187" s="30">
        <f t="shared" si="35"/>
        <v>56.473093702029928</v>
      </c>
      <c r="AW187" s="30">
        <f t="shared" si="35"/>
        <v>56.473093702029963</v>
      </c>
      <c r="AX187" s="30">
        <f t="shared" si="35"/>
        <v>56.473093702029971</v>
      </c>
      <c r="AY187" s="31">
        <f t="shared" si="35"/>
        <v>56.473093702029963</v>
      </c>
      <c r="AZ187" s="30">
        <f t="shared" si="34"/>
        <v>59.048193447681719</v>
      </c>
      <c r="BA187" s="30">
        <f t="shared" si="34"/>
        <v>59.04819344768169</v>
      </c>
      <c r="BB187" s="30">
        <f t="shared" si="34"/>
        <v>59.048193447681676</v>
      </c>
      <c r="BC187" s="30">
        <f t="shared" si="34"/>
        <v>59.048193447681747</v>
      </c>
      <c r="BD187" s="30">
        <f t="shared" si="34"/>
        <v>59.875633437796012</v>
      </c>
      <c r="BE187" s="30">
        <f t="shared" si="34"/>
        <v>61.410121185588906</v>
      </c>
      <c r="BF187" s="30">
        <f t="shared" si="34"/>
        <v>61.410121185588942</v>
      </c>
      <c r="BG187" s="30">
        <f t="shared" si="34"/>
        <v>61.41012118558902</v>
      </c>
      <c r="BH187" s="30">
        <f t="shared" si="34"/>
        <v>61.410121185588984</v>
      </c>
      <c r="BI187" s="30">
        <f t="shared" si="33"/>
        <v>61.410121185588956</v>
      </c>
      <c r="BJ187" s="30">
        <f t="shared" si="33"/>
        <v>61.410121185588963</v>
      </c>
      <c r="BK187" s="30">
        <f t="shared" si="33"/>
        <v>61.410121185588935</v>
      </c>
      <c r="BL187" s="31">
        <f t="shared" si="33"/>
        <v>60.016656006510438</v>
      </c>
    </row>
    <row r="188" spans="2:64" ht="15" x14ac:dyDescent="0.4">
      <c r="B188" t="s">
        <v>299</v>
      </c>
      <c r="C188" s="26">
        <v>60761</v>
      </c>
      <c r="D188" t="s">
        <v>300</v>
      </c>
      <c r="E188" t="s">
        <v>300</v>
      </c>
      <c r="F188" t="s">
        <v>133</v>
      </c>
      <c r="G188" t="s">
        <v>33</v>
      </c>
      <c r="H188" t="s">
        <v>34</v>
      </c>
      <c r="J188" s="27">
        <v>9954.5180854180107</v>
      </c>
      <c r="K188" s="27">
        <v>10296.393947471968</v>
      </c>
      <c r="L188" s="27">
        <v>8996.480752595895</v>
      </c>
      <c r="M188" s="27">
        <v>4980.3115057630594</v>
      </c>
      <c r="N188" s="28">
        <f t="shared" si="27"/>
        <v>34227.704291248934</v>
      </c>
      <c r="O188" s="27">
        <v>4766.27489669837</v>
      </c>
      <c r="P188" s="27">
        <v>4873.9812588534933</v>
      </c>
      <c r="Q188" s="27">
        <v>12596.276945463675</v>
      </c>
      <c r="R188" s="27">
        <v>10095.05611003412</v>
      </c>
      <c r="S188" s="27">
        <v>14492.767707663474</v>
      </c>
      <c r="T188" s="27">
        <v>13470.451838304072</v>
      </c>
      <c r="U188" s="27">
        <v>10599.236390022705</v>
      </c>
      <c r="V188" s="27">
        <v>9666.3776320878242</v>
      </c>
      <c r="W188" s="27">
        <v>8168.507758395679</v>
      </c>
      <c r="X188" s="27">
        <v>8449.0452598229713</v>
      </c>
      <c r="Y188" s="27">
        <v>7382.3586631970084</v>
      </c>
      <c r="Z188" s="27">
        <v>4086.7586783177253</v>
      </c>
      <c r="AA188" s="28">
        <f t="shared" si="28"/>
        <v>108647.09313886111</v>
      </c>
      <c r="AB188" s="29"/>
      <c r="AC188" s="27">
        <v>278109.32592879748</v>
      </c>
      <c r="AD188" s="27">
        <v>287660.65375112864</v>
      </c>
      <c r="AE188" s="27">
        <v>251343.67895729031</v>
      </c>
      <c r="AF188" s="27">
        <v>139139.94267709809</v>
      </c>
      <c r="AG188" s="28">
        <f t="shared" si="29"/>
        <v>956253.60131431441</v>
      </c>
      <c r="AH188" s="27">
        <v>132724.37490068184</v>
      </c>
      <c r="AI188" s="27">
        <v>135723.62691608013</v>
      </c>
      <c r="AJ188" s="27">
        <v>350763.02141545055</v>
      </c>
      <c r="AK188" s="27">
        <v>281112.61746982264</v>
      </c>
      <c r="AL188" s="27">
        <v>419180.15946373605</v>
      </c>
      <c r="AM188" s="27">
        <v>390110.01928390504</v>
      </c>
      <c r="AN188" s="27">
        <v>306958.39769447607</v>
      </c>
      <c r="AO188" s="27">
        <v>279942.4109691967</v>
      </c>
      <c r="AP188" s="27">
        <v>236563.4618199757</v>
      </c>
      <c r="AQ188" s="27">
        <v>244687.94727936157</v>
      </c>
      <c r="AR188" s="27">
        <v>213796.24937830379</v>
      </c>
      <c r="AS188" s="27">
        <v>118354.27095873236</v>
      </c>
      <c r="AT188" s="28">
        <f t="shared" si="30"/>
        <v>3109916.5575497225</v>
      </c>
      <c r="AU188" s="30">
        <f t="shared" si="35"/>
        <v>27.937999965682828</v>
      </c>
      <c r="AV188" s="30">
        <f t="shared" si="35"/>
        <v>27.93799996568282</v>
      </c>
      <c r="AW188" s="30">
        <f t="shared" si="35"/>
        <v>27.937999965682824</v>
      </c>
      <c r="AX188" s="30">
        <f t="shared" si="35"/>
        <v>27.937999965682817</v>
      </c>
      <c r="AY188" s="31">
        <f t="shared" si="35"/>
        <v>27.93799996568282</v>
      </c>
      <c r="AZ188" s="30">
        <f t="shared" si="34"/>
        <v>27.846563149897396</v>
      </c>
      <c r="BA188" s="30">
        <f t="shared" si="34"/>
        <v>27.846563149897381</v>
      </c>
      <c r="BB188" s="30">
        <f t="shared" si="34"/>
        <v>27.846563149897371</v>
      </c>
      <c r="BC188" s="30">
        <f t="shared" si="34"/>
        <v>27.846563149897392</v>
      </c>
      <c r="BD188" s="30">
        <f t="shared" si="34"/>
        <v>28.92340289440245</v>
      </c>
      <c r="BE188" s="30">
        <f t="shared" si="34"/>
        <v>28.960425675893276</v>
      </c>
      <c r="BF188" s="30">
        <f t="shared" si="34"/>
        <v>28.960425675893291</v>
      </c>
      <c r="BG188" s="30">
        <f t="shared" si="34"/>
        <v>28.96042567589328</v>
      </c>
      <c r="BH188" s="30">
        <f t="shared" si="34"/>
        <v>28.96042567589328</v>
      </c>
      <c r="BI188" s="30">
        <f t="shared" si="33"/>
        <v>28.96042567589328</v>
      </c>
      <c r="BJ188" s="30">
        <f t="shared" si="33"/>
        <v>28.960425675893276</v>
      </c>
      <c r="BK188" s="30">
        <f t="shared" si="33"/>
        <v>28.960425675893287</v>
      </c>
      <c r="BL188" s="31">
        <f t="shared" si="33"/>
        <v>28.624019913491466</v>
      </c>
    </row>
    <row r="189" spans="2:64" ht="15" x14ac:dyDescent="0.4">
      <c r="B189" t="s">
        <v>301</v>
      </c>
      <c r="C189" s="26">
        <v>53955</v>
      </c>
      <c r="D189" t="s">
        <v>300</v>
      </c>
      <c r="E189" t="s">
        <v>300</v>
      </c>
      <c r="F189" t="s">
        <v>302</v>
      </c>
      <c r="G189" t="s">
        <v>33</v>
      </c>
      <c r="H189" t="s">
        <v>76</v>
      </c>
      <c r="J189" s="27">
        <v>17659.394849571752</v>
      </c>
      <c r="K189" s="27">
        <v>18265.885368323481</v>
      </c>
      <c r="L189" s="27">
        <v>15959.82894434532</v>
      </c>
      <c r="M189" s="27">
        <v>8835.1125187033049</v>
      </c>
      <c r="N189" s="28">
        <f t="shared" si="27"/>
        <v>60720.221680943854</v>
      </c>
      <c r="O189" s="27">
        <v>5484.2715566794986</v>
      </c>
      <c r="P189" s="27">
        <v>5608.2029184332905</v>
      </c>
      <c r="Q189" s="27">
        <v>14493.793343711093</v>
      </c>
      <c r="R189" s="27">
        <v>11615.785972750906</v>
      </c>
      <c r="S189" s="27">
        <v>16675.973467615098</v>
      </c>
      <c r="T189" s="27">
        <v>15499.654861201185</v>
      </c>
      <c r="U189" s="27">
        <v>12195.916500030287</v>
      </c>
      <c r="V189" s="27">
        <v>11122.530918328825</v>
      </c>
      <c r="W189" s="27">
        <v>9399.0203525435136</v>
      </c>
      <c r="X189" s="27">
        <v>9721.8183180417673</v>
      </c>
      <c r="Y189" s="27">
        <v>8494.4449313704772</v>
      </c>
      <c r="Z189" s="27">
        <v>4702.3923009637056</v>
      </c>
      <c r="AA189" s="28">
        <f t="shared" si="28"/>
        <v>125013.80544166965</v>
      </c>
      <c r="AB189" s="29"/>
      <c r="AC189" s="27">
        <v>111516.03765524825</v>
      </c>
      <c r="AD189" s="27">
        <v>115345.9208478939</v>
      </c>
      <c r="AE189" s="27">
        <v>100783.5716166737</v>
      </c>
      <c r="AF189" s="27">
        <v>55792.21421327276</v>
      </c>
      <c r="AG189" s="28">
        <f t="shared" si="29"/>
        <v>383437.74433308863</v>
      </c>
      <c r="AH189" s="27">
        <v>35403.382105663906</v>
      </c>
      <c r="AI189" s="27">
        <v>36203.413488081693</v>
      </c>
      <c r="AJ189" s="27">
        <v>93563.803069337882</v>
      </c>
      <c r="AK189" s="27">
        <v>74985.001198572834</v>
      </c>
      <c r="AL189" s="27">
        <v>111778.48026669452</v>
      </c>
      <c r="AM189" s="27">
        <v>104059.36427495696</v>
      </c>
      <c r="AN189" s="27">
        <v>81879.198543989914</v>
      </c>
      <c r="AO189" s="27">
        <v>74672.856063851417</v>
      </c>
      <c r="AP189" s="27">
        <v>63101.797520752174</v>
      </c>
      <c r="AQ189" s="27">
        <v>65268.952298055068</v>
      </c>
      <c r="AR189" s="27">
        <v>57028.788533846098</v>
      </c>
      <c r="AS189" s="27">
        <v>31570.248356602027</v>
      </c>
      <c r="AT189" s="28">
        <f t="shared" si="30"/>
        <v>829515.28572040447</v>
      </c>
      <c r="AU189" s="30">
        <f t="shared" si="35"/>
        <v>6.3148278072480251</v>
      </c>
      <c r="AV189" s="30">
        <f t="shared" si="35"/>
        <v>6.3148278072480224</v>
      </c>
      <c r="AW189" s="30">
        <f t="shared" si="35"/>
        <v>6.3148278072480242</v>
      </c>
      <c r="AX189" s="30">
        <f t="shared" si="35"/>
        <v>6.3148278072480242</v>
      </c>
      <c r="AY189" s="31">
        <f t="shared" si="35"/>
        <v>6.3148278072480242</v>
      </c>
      <c r="AZ189" s="30">
        <f t="shared" si="34"/>
        <v>6.4554392939468519</v>
      </c>
      <c r="BA189" s="30">
        <f t="shared" si="34"/>
        <v>6.4554392939468555</v>
      </c>
      <c r="BB189" s="30">
        <f t="shared" si="34"/>
        <v>6.4554392939468492</v>
      </c>
      <c r="BC189" s="30">
        <f t="shared" si="34"/>
        <v>6.4554392939468501</v>
      </c>
      <c r="BD189" s="30">
        <f t="shared" si="34"/>
        <v>6.7029658258793354</v>
      </c>
      <c r="BE189" s="30">
        <f t="shared" si="34"/>
        <v>6.7136568657047251</v>
      </c>
      <c r="BF189" s="30">
        <f t="shared" si="34"/>
        <v>6.7136568657047277</v>
      </c>
      <c r="BG189" s="30">
        <f t="shared" si="34"/>
        <v>6.7136568657047269</v>
      </c>
      <c r="BH189" s="30">
        <f t="shared" si="34"/>
        <v>6.7136568657047215</v>
      </c>
      <c r="BI189" s="30">
        <f t="shared" si="33"/>
        <v>6.7136568657047242</v>
      </c>
      <c r="BJ189" s="30">
        <f t="shared" si="33"/>
        <v>6.7136568657047242</v>
      </c>
      <c r="BK189" s="30">
        <f t="shared" si="33"/>
        <v>6.713656865704726</v>
      </c>
      <c r="BL189" s="31">
        <f t="shared" si="33"/>
        <v>6.635389449907187</v>
      </c>
    </row>
    <row r="190" spans="2:64" ht="15" x14ac:dyDescent="0.4">
      <c r="B190" t="s">
        <v>303</v>
      </c>
      <c r="C190" s="26">
        <v>60723</v>
      </c>
      <c r="D190" t="s">
        <v>300</v>
      </c>
      <c r="E190" t="s">
        <v>300</v>
      </c>
      <c r="F190" t="s">
        <v>133</v>
      </c>
      <c r="G190" t="s">
        <v>33</v>
      </c>
      <c r="H190" t="s">
        <v>34</v>
      </c>
      <c r="J190" s="27">
        <v>7357.5804230259591</v>
      </c>
      <c r="K190" s="27">
        <v>7610.2676076962034</v>
      </c>
      <c r="L190" s="27">
        <v>6649.476156800798</v>
      </c>
      <c r="M190" s="27">
        <v>3681.0463470903919</v>
      </c>
      <c r="N190" s="28">
        <f t="shared" si="27"/>
        <v>25298.37053461335</v>
      </c>
      <c r="O190" s="27">
        <v>2886.7987738332836</v>
      </c>
      <c r="P190" s="27">
        <v>2952.0334908696063</v>
      </c>
      <c r="Q190" s="27">
        <v>7629.2109937296727</v>
      </c>
      <c r="R190" s="27">
        <v>6114.2918173712151</v>
      </c>
      <c r="S190" s="27">
        <v>8777.8621574921654</v>
      </c>
      <c r="T190" s="27">
        <v>8158.6741622337777</v>
      </c>
      <c r="U190" s="27">
        <v>6419.6596456243005</v>
      </c>
      <c r="V190" s="27">
        <v>5854.6533090339581</v>
      </c>
      <c r="W190" s="27">
        <v>4947.4356162962595</v>
      </c>
      <c r="X190" s="27">
        <v>5117.3492978792401</v>
      </c>
      <c r="Y190" s="27">
        <v>4471.2871999215076</v>
      </c>
      <c r="Z190" s="27">
        <v>2475.2348945908366</v>
      </c>
      <c r="AA190" s="28">
        <f t="shared" si="28"/>
        <v>65804.491358875821</v>
      </c>
      <c r="AB190" s="29"/>
      <c r="AC190" s="27">
        <v>190671.35913398495</v>
      </c>
      <c r="AD190" s="27">
        <v>197219.73593269903</v>
      </c>
      <c r="AE190" s="27">
        <v>172320.86955901718</v>
      </c>
      <c r="AF190" s="27">
        <v>95394.147216980986</v>
      </c>
      <c r="AG190" s="28">
        <f t="shared" si="29"/>
        <v>655606.11184268212</v>
      </c>
      <c r="AH190" s="27">
        <v>74944.237433509319</v>
      </c>
      <c r="AI190" s="27">
        <v>76637.797153290594</v>
      </c>
      <c r="AJ190" s="27">
        <v>198062.09055063032</v>
      </c>
      <c r="AK190" s="27">
        <v>158733.24523079325</v>
      </c>
      <c r="AL190" s="27">
        <v>236666.54019186244</v>
      </c>
      <c r="AM190" s="27">
        <v>220279.79361199983</v>
      </c>
      <c r="AN190" s="27">
        <v>173327.34138879128</v>
      </c>
      <c r="AO190" s="27">
        <v>158072.47561786603</v>
      </c>
      <c r="AP190" s="27">
        <v>133578.08815446231</v>
      </c>
      <c r="AQ190" s="27">
        <v>138165.6657395814</v>
      </c>
      <c r="AR190" s="27">
        <v>120722.33821248953</v>
      </c>
      <c r="AS190" s="27">
        <v>66830.004591383971</v>
      </c>
      <c r="AT190" s="28">
        <f t="shared" si="30"/>
        <v>1756019.6178766605</v>
      </c>
      <c r="AU190" s="30">
        <f t="shared" si="35"/>
        <v>25.914954125036576</v>
      </c>
      <c r="AV190" s="30">
        <f t="shared" si="35"/>
        <v>25.914954125036584</v>
      </c>
      <c r="AW190" s="30">
        <f t="shared" si="35"/>
        <v>25.914954125036573</v>
      </c>
      <c r="AX190" s="30">
        <f t="shared" si="35"/>
        <v>25.91495412503658</v>
      </c>
      <c r="AY190" s="31">
        <f t="shared" si="35"/>
        <v>25.91495412503658</v>
      </c>
      <c r="AZ190" s="30">
        <f t="shared" si="34"/>
        <v>25.961018867273999</v>
      </c>
      <c r="BA190" s="30">
        <f t="shared" si="34"/>
        <v>25.961018867274007</v>
      </c>
      <c r="BB190" s="30">
        <f t="shared" si="34"/>
        <v>25.96101886727401</v>
      </c>
      <c r="BC190" s="30">
        <f t="shared" si="34"/>
        <v>25.961018867274017</v>
      </c>
      <c r="BD190" s="30">
        <f t="shared" si="34"/>
        <v>26.961751727880635</v>
      </c>
      <c r="BE190" s="30">
        <f t="shared" si="34"/>
        <v>26.999459621964981</v>
      </c>
      <c r="BF190" s="30">
        <f t="shared" si="34"/>
        <v>26.999459621964974</v>
      </c>
      <c r="BG190" s="30">
        <f t="shared" si="34"/>
        <v>26.999459621964984</v>
      </c>
      <c r="BH190" s="30">
        <f t="shared" si="34"/>
        <v>26.999459621964984</v>
      </c>
      <c r="BI190" s="30">
        <f t="shared" si="33"/>
        <v>26.999459621964981</v>
      </c>
      <c r="BJ190" s="30">
        <f t="shared" si="33"/>
        <v>26.999459621964963</v>
      </c>
      <c r="BK190" s="30">
        <f t="shared" si="33"/>
        <v>26.999459621964952</v>
      </c>
      <c r="BL190" s="31">
        <f t="shared" si="33"/>
        <v>26.685406749820665</v>
      </c>
    </row>
    <row r="191" spans="2:64" ht="15" x14ac:dyDescent="0.4">
      <c r="B191" t="s">
        <v>304</v>
      </c>
      <c r="C191" s="26">
        <v>53805</v>
      </c>
      <c r="D191" t="s">
        <v>305</v>
      </c>
      <c r="E191" t="s">
        <v>305</v>
      </c>
      <c r="F191" t="s">
        <v>306</v>
      </c>
      <c r="G191" t="s">
        <v>33</v>
      </c>
      <c r="H191" t="s">
        <v>34</v>
      </c>
      <c r="J191" s="27">
        <v>60302.524526963396</v>
      </c>
      <c r="K191" s="27">
        <v>54516.305185080273</v>
      </c>
      <c r="L191" s="27">
        <v>75321.673326813674</v>
      </c>
      <c r="M191" s="27">
        <v>40308.882926927407</v>
      </c>
      <c r="N191" s="28">
        <f t="shared" si="27"/>
        <v>230449.38596578475</v>
      </c>
      <c r="O191" s="27">
        <v>52151.690775563744</v>
      </c>
      <c r="P191" s="27">
        <v>77511.739989581794</v>
      </c>
      <c r="Q191" s="27">
        <v>171351.60567837296</v>
      </c>
      <c r="R191" s="27">
        <v>115826.20502296336</v>
      </c>
      <c r="S191" s="27">
        <v>85645.422089839762</v>
      </c>
      <c r="T191" s="27">
        <v>75200.231123935242</v>
      </c>
      <c r="U191" s="27">
        <v>65857.105859204035</v>
      </c>
      <c r="V191" s="27">
        <v>59250.498461563649</v>
      </c>
      <c r="W191" s="27">
        <v>52686.327666185447</v>
      </c>
      <c r="X191" s="27">
        <v>47630.906676993371</v>
      </c>
      <c r="Y191" s="27">
        <v>65808.560958131377</v>
      </c>
      <c r="Z191" s="27">
        <v>35217.879025884169</v>
      </c>
      <c r="AA191" s="28">
        <f t="shared" si="28"/>
        <v>904138.17332821887</v>
      </c>
      <c r="AB191" s="29"/>
      <c r="AC191" s="27">
        <v>612641.91275084531</v>
      </c>
      <c r="AD191" s="27">
        <v>553856.96945013525</v>
      </c>
      <c r="AE191" s="27">
        <v>765228.56017247413</v>
      </c>
      <c r="AF191" s="27">
        <v>409517.03649091499</v>
      </c>
      <c r="AG191" s="28">
        <f t="shared" si="29"/>
        <v>2341244.4788643694</v>
      </c>
      <c r="AH191" s="27">
        <v>527333.04164645332</v>
      </c>
      <c r="AI191" s="27">
        <v>783761.77270876477</v>
      </c>
      <c r="AJ191" s="27">
        <v>1732625.7705094214</v>
      </c>
      <c r="AK191" s="27">
        <v>1171179.3824668138</v>
      </c>
      <c r="AL191" s="27">
        <v>890797.53711818403</v>
      </c>
      <c r="AM191" s="27">
        <v>790804.45259254007</v>
      </c>
      <c r="AN191" s="27">
        <v>692552.29365565709</v>
      </c>
      <c r="AO191" s="27">
        <v>623077.31374536245</v>
      </c>
      <c r="AP191" s="27">
        <v>554048.59647974756</v>
      </c>
      <c r="AQ191" s="27">
        <v>500885.86854352494</v>
      </c>
      <c r="AR191" s="27">
        <v>692041.79623636382</v>
      </c>
      <c r="AS191" s="27">
        <v>370350.66419723025</v>
      </c>
      <c r="AT191" s="28">
        <f t="shared" si="30"/>
        <v>9329458.4899000656</v>
      </c>
      <c r="AU191" s="30">
        <f t="shared" si="35"/>
        <v>10.159473712861082</v>
      </c>
      <c r="AV191" s="30">
        <f t="shared" si="35"/>
        <v>10.159473712861081</v>
      </c>
      <c r="AW191" s="30">
        <f t="shared" si="35"/>
        <v>10.159473712861093</v>
      </c>
      <c r="AX191" s="30">
        <f t="shared" si="35"/>
        <v>10.159473712861111</v>
      </c>
      <c r="AY191" s="31">
        <f t="shared" si="35"/>
        <v>10.159473712861089</v>
      </c>
      <c r="AZ191" s="30">
        <f t="shared" si="34"/>
        <v>10.111523400379209</v>
      </c>
      <c r="BA191" s="30">
        <f t="shared" si="34"/>
        <v>10.111523400379204</v>
      </c>
      <c r="BB191" s="30">
        <f t="shared" si="34"/>
        <v>10.111523400379221</v>
      </c>
      <c r="BC191" s="30">
        <f t="shared" si="34"/>
        <v>10.111523400379207</v>
      </c>
      <c r="BD191" s="30">
        <f t="shared" si="34"/>
        <v>10.400994184881956</v>
      </c>
      <c r="BE191" s="30">
        <f t="shared" si="34"/>
        <v>10.515984336394379</v>
      </c>
      <c r="BF191" s="30">
        <f t="shared" si="34"/>
        <v>10.515984336394395</v>
      </c>
      <c r="BG191" s="30">
        <f t="shared" si="34"/>
        <v>10.515984336394377</v>
      </c>
      <c r="BH191" s="30">
        <f t="shared" si="34"/>
        <v>10.515984336394371</v>
      </c>
      <c r="BI191" s="30">
        <f t="shared" si="33"/>
        <v>10.515984336394384</v>
      </c>
      <c r="BJ191" s="30">
        <f t="shared" si="33"/>
        <v>10.515984336394373</v>
      </c>
      <c r="BK191" s="30">
        <f t="shared" si="33"/>
        <v>10.515984336394384</v>
      </c>
      <c r="BL191" s="31">
        <f t="shared" si="33"/>
        <v>10.318620278532693</v>
      </c>
    </row>
    <row r="192" spans="2:64" ht="15" x14ac:dyDescent="0.4">
      <c r="B192" t="s">
        <v>307</v>
      </c>
      <c r="C192" s="26">
        <v>53806</v>
      </c>
      <c r="D192" t="s">
        <v>305</v>
      </c>
      <c r="E192" t="s">
        <v>305</v>
      </c>
      <c r="F192" t="s">
        <v>306</v>
      </c>
      <c r="G192" t="s">
        <v>33</v>
      </c>
      <c r="H192" t="s">
        <v>34</v>
      </c>
      <c r="J192" s="27">
        <v>6107.4993654683112</v>
      </c>
      <c r="K192" s="27">
        <v>5521.4653439040785</v>
      </c>
      <c r="L192" s="27">
        <v>7628.6536203609758</v>
      </c>
      <c r="M192" s="27">
        <v>4082.5235565198809</v>
      </c>
      <c r="N192" s="28">
        <f t="shared" si="27"/>
        <v>23340.141886253248</v>
      </c>
      <c r="O192" s="27">
        <v>4668.5621887608359</v>
      </c>
      <c r="P192" s="27">
        <v>6938.7659943324525</v>
      </c>
      <c r="Q192" s="27">
        <v>15339.207902121212</v>
      </c>
      <c r="R192" s="27">
        <v>10368.634903228052</v>
      </c>
      <c r="S192" s="27">
        <v>7666.8842996829144</v>
      </c>
      <c r="T192" s="27">
        <v>6731.8422545905396</v>
      </c>
      <c r="U192" s="27">
        <v>5895.4559229662173</v>
      </c>
      <c r="V192" s="27">
        <v>5304.0396709918159</v>
      </c>
      <c r="W192" s="27">
        <v>4716.4222971322924</v>
      </c>
      <c r="X192" s="27">
        <v>4263.8665520083332</v>
      </c>
      <c r="Y192" s="27">
        <v>5891.1102366378364</v>
      </c>
      <c r="Z192" s="27">
        <v>3152.6659240285903</v>
      </c>
      <c r="AA192" s="28">
        <f t="shared" si="28"/>
        <v>80937.458146481091</v>
      </c>
      <c r="AB192" s="29"/>
      <c r="AC192" s="27">
        <v>110721.39868264861</v>
      </c>
      <c r="AD192" s="27">
        <v>100097.32773962468</v>
      </c>
      <c r="AE192" s="27">
        <v>138298.04120610855</v>
      </c>
      <c r="AF192" s="27">
        <v>74011.095422861676</v>
      </c>
      <c r="AG192" s="28">
        <f t="shared" si="29"/>
        <v>423127.86305124353</v>
      </c>
      <c r="AH192" s="27">
        <v>85875.58286794163</v>
      </c>
      <c r="AI192" s="27">
        <v>127634.70851519538</v>
      </c>
      <c r="AJ192" s="27">
        <v>282156.12560509436</v>
      </c>
      <c r="AK192" s="27">
        <v>190725.22328248847</v>
      </c>
      <c r="AL192" s="27">
        <v>144490.24418948771</v>
      </c>
      <c r="AM192" s="27">
        <v>128781.60088151321</v>
      </c>
      <c r="AN192" s="27">
        <v>112781.34914231843</v>
      </c>
      <c r="AO192" s="27">
        <v>101467.42810314517</v>
      </c>
      <c r="AP192" s="27">
        <v>90226.180425391387</v>
      </c>
      <c r="AQ192" s="27">
        <v>81568.690968408482</v>
      </c>
      <c r="AR192" s="27">
        <v>112698.21522130062</v>
      </c>
      <c r="AS192" s="27">
        <v>60311.182197434297</v>
      </c>
      <c r="AT192" s="28">
        <f t="shared" si="30"/>
        <v>1518716.5313997192</v>
      </c>
      <c r="AU192" s="30">
        <f t="shared" si="35"/>
        <v>18.128761389426472</v>
      </c>
      <c r="AV192" s="30">
        <f t="shared" si="35"/>
        <v>18.128761389426483</v>
      </c>
      <c r="AW192" s="30">
        <f t="shared" si="35"/>
        <v>18.128761389426476</v>
      </c>
      <c r="AX192" s="30">
        <f t="shared" si="35"/>
        <v>18.128761389426476</v>
      </c>
      <c r="AY192" s="31">
        <f t="shared" si="35"/>
        <v>18.128761389426476</v>
      </c>
      <c r="AZ192" s="30">
        <f t="shared" si="34"/>
        <v>18.394439100475036</v>
      </c>
      <c r="BA192" s="30">
        <f t="shared" si="34"/>
        <v>18.394439100475033</v>
      </c>
      <c r="BB192" s="30">
        <f t="shared" si="34"/>
        <v>18.394439100475054</v>
      </c>
      <c r="BC192" s="30">
        <f t="shared" si="34"/>
        <v>18.394439100475054</v>
      </c>
      <c r="BD192" s="30">
        <f t="shared" si="34"/>
        <v>18.846018609601753</v>
      </c>
      <c r="BE192" s="30">
        <f t="shared" si="34"/>
        <v>19.130216664494061</v>
      </c>
      <c r="BF192" s="30">
        <f t="shared" si="34"/>
        <v>19.130216664494043</v>
      </c>
      <c r="BG192" s="30">
        <f t="shared" si="34"/>
        <v>19.13021666449405</v>
      </c>
      <c r="BH192" s="30">
        <f t="shared" si="34"/>
        <v>19.130216664494029</v>
      </c>
      <c r="BI192" s="30">
        <f t="shared" si="33"/>
        <v>19.130216664494021</v>
      </c>
      <c r="BJ192" s="30">
        <f t="shared" si="33"/>
        <v>19.13021666449405</v>
      </c>
      <c r="BK192" s="30">
        <f t="shared" si="33"/>
        <v>19.130216664494057</v>
      </c>
      <c r="BL192" s="31">
        <f t="shared" si="33"/>
        <v>18.764074955889239</v>
      </c>
    </row>
    <row r="193" spans="2:64" ht="15" x14ac:dyDescent="0.4">
      <c r="B193" t="s">
        <v>308</v>
      </c>
      <c r="C193" s="26">
        <v>53912</v>
      </c>
      <c r="D193" t="s">
        <v>305</v>
      </c>
      <c r="E193" t="s">
        <v>305</v>
      </c>
      <c r="F193" t="s">
        <v>306</v>
      </c>
      <c r="G193" t="s">
        <v>33</v>
      </c>
      <c r="H193" t="s">
        <v>76</v>
      </c>
      <c r="J193" s="27">
        <v>23744.11662794244</v>
      </c>
      <c r="K193" s="27">
        <v>21465.792992800118</v>
      </c>
      <c r="L193" s="27">
        <v>29657.905868998354</v>
      </c>
      <c r="M193" s="27">
        <v>15871.621045170206</v>
      </c>
      <c r="N193" s="28">
        <f t="shared" si="27"/>
        <v>90739.436534911118</v>
      </c>
      <c r="O193" s="27">
        <v>18336.177969616325</v>
      </c>
      <c r="P193" s="27">
        <v>27252.597912885907</v>
      </c>
      <c r="Q193" s="27">
        <v>60246.053203137191</v>
      </c>
      <c r="R193" s="27">
        <v>40723.701902325651</v>
      </c>
      <c r="S193" s="27">
        <v>30112.344937779973</v>
      </c>
      <c r="T193" s="27">
        <v>26439.887197115593</v>
      </c>
      <c r="U193" s="27">
        <v>23154.908223302504</v>
      </c>
      <c r="V193" s="27">
        <v>20832.070224821349</v>
      </c>
      <c r="W193" s="27">
        <v>18524.152645600461</v>
      </c>
      <c r="X193" s="27">
        <v>16746.701184475587</v>
      </c>
      <c r="Y193" s="27">
        <v>23137.840167936491</v>
      </c>
      <c r="Z193" s="27">
        <v>12382.365517353652</v>
      </c>
      <c r="AA193" s="28">
        <f t="shared" si="28"/>
        <v>317888.80108635058</v>
      </c>
      <c r="AB193" s="29"/>
      <c r="AC193" s="27">
        <v>490821.78914192924</v>
      </c>
      <c r="AD193" s="27">
        <v>443725.87479955569</v>
      </c>
      <c r="AE193" s="27">
        <v>613067.50842413248</v>
      </c>
      <c r="AF193" s="27">
        <v>328087.06089345826</v>
      </c>
      <c r="AG193" s="28">
        <f t="shared" si="29"/>
        <v>1875702.2332590758</v>
      </c>
      <c r="AH193" s="27">
        <v>379214.22946968494</v>
      </c>
      <c r="AI193" s="27">
        <v>563616.5255216714</v>
      </c>
      <c r="AJ193" s="27">
        <v>1245960.8911886758</v>
      </c>
      <c r="AK193" s="27">
        <v>842215.16957531567</v>
      </c>
      <c r="AL193" s="27">
        <v>645087.93199614831</v>
      </c>
      <c r="AM193" s="27">
        <v>568681.03734742221</v>
      </c>
      <c r="AN193" s="27">
        <v>498026.2256772609</v>
      </c>
      <c r="AO193" s="27">
        <v>448065.57672599051</v>
      </c>
      <c r="AP193" s="27">
        <v>398425.84289207152</v>
      </c>
      <c r="AQ193" s="27">
        <v>360195.61395004124</v>
      </c>
      <c r="AR193" s="27">
        <v>497659.11823241174</v>
      </c>
      <c r="AS193" s="27">
        <v>266325.51094967633</v>
      </c>
      <c r="AT193" s="28">
        <f t="shared" si="30"/>
        <v>6713473.673526369</v>
      </c>
      <c r="AU193" s="30">
        <f t="shared" si="35"/>
        <v>20.671301309408271</v>
      </c>
      <c r="AV193" s="30">
        <f t="shared" si="35"/>
        <v>20.671301309408257</v>
      </c>
      <c r="AW193" s="30">
        <f t="shared" si="35"/>
        <v>20.671301309408257</v>
      </c>
      <c r="AX193" s="30">
        <f t="shared" si="35"/>
        <v>20.671301309408239</v>
      </c>
      <c r="AY193" s="31">
        <f t="shared" si="35"/>
        <v>20.67130130940826</v>
      </c>
      <c r="AZ193" s="30">
        <f t="shared" si="34"/>
        <v>20.681203580051193</v>
      </c>
      <c r="BA193" s="30">
        <f t="shared" si="34"/>
        <v>20.681203580051182</v>
      </c>
      <c r="BB193" s="30">
        <f t="shared" si="34"/>
        <v>20.681203580051196</v>
      </c>
      <c r="BC193" s="30">
        <f t="shared" si="34"/>
        <v>20.681203580051214</v>
      </c>
      <c r="BD193" s="30">
        <f t="shared" si="34"/>
        <v>21.422706645034442</v>
      </c>
      <c r="BE193" s="30">
        <f t="shared" si="34"/>
        <v>21.508451723253241</v>
      </c>
      <c r="BF193" s="30">
        <f t="shared" si="34"/>
        <v>21.50845172325322</v>
      </c>
      <c r="BG193" s="30">
        <f t="shared" si="34"/>
        <v>21.508451723253206</v>
      </c>
      <c r="BH193" s="30">
        <f t="shared" si="34"/>
        <v>21.508451723253252</v>
      </c>
      <c r="BI193" s="30">
        <f t="shared" si="33"/>
        <v>21.508451723253252</v>
      </c>
      <c r="BJ193" s="30">
        <f t="shared" si="33"/>
        <v>21.508451723253245</v>
      </c>
      <c r="BK193" s="30">
        <f t="shared" si="33"/>
        <v>21.508451723253213</v>
      </c>
      <c r="BL193" s="31">
        <f t="shared" si="33"/>
        <v>21.118937347222673</v>
      </c>
    </row>
    <row r="194" spans="2:64" ht="15" x14ac:dyDescent="0.4">
      <c r="B194" t="s">
        <v>309</v>
      </c>
      <c r="C194" s="26">
        <v>53695</v>
      </c>
      <c r="D194" t="s">
        <v>305</v>
      </c>
      <c r="E194" t="s">
        <v>305</v>
      </c>
      <c r="F194" t="s">
        <v>306</v>
      </c>
      <c r="G194" t="s">
        <v>33</v>
      </c>
      <c r="H194" t="s">
        <v>34</v>
      </c>
      <c r="J194" s="27">
        <v>6905.4721276098117</v>
      </c>
      <c r="K194" s="27">
        <v>6242.8700773134779</v>
      </c>
      <c r="L194" s="27">
        <v>8625.3721522168362</v>
      </c>
      <c r="M194" s="27">
        <v>4615.9239555969789</v>
      </c>
      <c r="N194" s="28">
        <f t="shared" si="27"/>
        <v>26389.638312737105</v>
      </c>
      <c r="O194" s="27">
        <v>3498.6644584206488</v>
      </c>
      <c r="P194" s="27">
        <v>5199.9765641147778</v>
      </c>
      <c r="Q194" s="27">
        <v>11495.346819342976</v>
      </c>
      <c r="R194" s="27">
        <v>7770.3526163999968</v>
      </c>
      <c r="S194" s="27">
        <v>5745.6352773237295</v>
      </c>
      <c r="T194" s="27">
        <v>5044.9059653806989</v>
      </c>
      <c r="U194" s="27">
        <v>4418.1101739467667</v>
      </c>
      <c r="V194" s="27">
        <v>3974.89726657744</v>
      </c>
      <c r="W194" s="27">
        <v>3534.5312742335564</v>
      </c>
      <c r="X194" s="27">
        <v>3195.3817380592172</v>
      </c>
      <c r="Y194" s="27">
        <v>4414.8534756979698</v>
      </c>
      <c r="Z194" s="27">
        <v>2362.6375255805324</v>
      </c>
      <c r="AA194" s="28">
        <f t="shared" si="28"/>
        <v>60655.293155078311</v>
      </c>
      <c r="AB194" s="29"/>
      <c r="AC194" s="27">
        <v>88096.430324413886</v>
      </c>
      <c r="AD194" s="27">
        <v>79643.297174639025</v>
      </c>
      <c r="AE194" s="27">
        <v>110038.02242453229</v>
      </c>
      <c r="AF194" s="27">
        <v>58887.562736104301</v>
      </c>
      <c r="AG194" s="28">
        <f t="shared" si="29"/>
        <v>336665.31265968952</v>
      </c>
      <c r="AH194" s="27">
        <v>44521.822532269776</v>
      </c>
      <c r="AI194" s="27">
        <v>66171.659646374945</v>
      </c>
      <c r="AJ194" s="27">
        <v>146282.61644407909</v>
      </c>
      <c r="AK194" s="27">
        <v>98880.662696269545</v>
      </c>
      <c r="AL194" s="27">
        <v>75749.500649023495</v>
      </c>
      <c r="AM194" s="27">
        <v>66766.261006756351</v>
      </c>
      <c r="AN194" s="27">
        <v>58471.000065127264</v>
      </c>
      <c r="AO194" s="27">
        <v>52605.346897744479</v>
      </c>
      <c r="AP194" s="27">
        <v>46777.370918590132</v>
      </c>
      <c r="AQ194" s="27">
        <v>42288.933154254584</v>
      </c>
      <c r="AR194" s="27">
        <v>58427.899645259851</v>
      </c>
      <c r="AS194" s="27">
        <v>31268.070164190522</v>
      </c>
      <c r="AT194" s="28">
        <f t="shared" si="30"/>
        <v>788211.14381993993</v>
      </c>
      <c r="AU194" s="30">
        <f t="shared" si="35"/>
        <v>12.757481124597149</v>
      </c>
      <c r="AV194" s="30">
        <f t="shared" si="35"/>
        <v>12.757481124597147</v>
      </c>
      <c r="AW194" s="30">
        <f t="shared" si="35"/>
        <v>12.757481124597163</v>
      </c>
      <c r="AX194" s="30">
        <f t="shared" si="35"/>
        <v>12.757481124597156</v>
      </c>
      <c r="AY194" s="31">
        <f t="shared" si="35"/>
        <v>12.757481124597154</v>
      </c>
      <c r="AZ194" s="30">
        <f t="shared" si="34"/>
        <v>12.725376514776617</v>
      </c>
      <c r="BA194" s="30">
        <f t="shared" si="34"/>
        <v>12.725376514776606</v>
      </c>
      <c r="BB194" s="30">
        <f t="shared" si="34"/>
        <v>12.725376514776608</v>
      </c>
      <c r="BC194" s="30">
        <f t="shared" si="34"/>
        <v>12.725376514776615</v>
      </c>
      <c r="BD194" s="30">
        <f t="shared" si="34"/>
        <v>13.183833813465967</v>
      </c>
      <c r="BE194" s="30">
        <f t="shared" si="34"/>
        <v>13.234391575367656</v>
      </c>
      <c r="BF194" s="30">
        <f t="shared" si="34"/>
        <v>13.234391575367667</v>
      </c>
      <c r="BG194" s="30">
        <f t="shared" si="34"/>
        <v>13.234391575367678</v>
      </c>
      <c r="BH194" s="30">
        <f t="shared" si="34"/>
        <v>13.234391575367669</v>
      </c>
      <c r="BI194" s="30">
        <f t="shared" si="33"/>
        <v>13.234391575367663</v>
      </c>
      <c r="BJ194" s="30">
        <f t="shared" si="33"/>
        <v>13.234391575367662</v>
      </c>
      <c r="BK194" s="30">
        <f t="shared" si="33"/>
        <v>13.234391575367672</v>
      </c>
      <c r="BL194" s="31">
        <f t="shared" si="33"/>
        <v>12.99492761175366</v>
      </c>
    </row>
    <row r="195" spans="2:64" ht="15" x14ac:dyDescent="0.4">
      <c r="B195" t="s">
        <v>310</v>
      </c>
      <c r="C195" s="26">
        <v>51860</v>
      </c>
      <c r="D195" t="s">
        <v>305</v>
      </c>
      <c r="E195" t="s">
        <v>305</v>
      </c>
      <c r="F195" t="s">
        <v>306</v>
      </c>
      <c r="G195" t="s">
        <v>33</v>
      </c>
      <c r="H195" t="s">
        <v>34</v>
      </c>
      <c r="J195" s="27">
        <v>798.28334926718333</v>
      </c>
      <c r="K195" s="27">
        <v>721.6855187108896</v>
      </c>
      <c r="L195" s="27">
        <v>997.10647485167999</v>
      </c>
      <c r="M195" s="27">
        <v>533.60800929219101</v>
      </c>
      <c r="N195" s="28">
        <f t="shared" si="27"/>
        <v>3050.6833521219442</v>
      </c>
      <c r="O195" s="27">
        <v>923.65853439182104</v>
      </c>
      <c r="P195" s="27">
        <v>1372.8103363905393</v>
      </c>
      <c r="Q195" s="27">
        <v>3034.8080879619533</v>
      </c>
      <c r="R195" s="27">
        <v>2051.3977818300273</v>
      </c>
      <c r="S195" s="27">
        <v>1516.865970564791</v>
      </c>
      <c r="T195" s="27">
        <v>1331.8712055718488</v>
      </c>
      <c r="U195" s="27">
        <v>1166.3951249247282</v>
      </c>
      <c r="V195" s="27">
        <v>1049.385509024298</v>
      </c>
      <c r="W195" s="27">
        <v>933.12748773695023</v>
      </c>
      <c r="X195" s="27">
        <v>843.59093250413969</v>
      </c>
      <c r="Y195" s="27">
        <v>1165.5353462385501</v>
      </c>
      <c r="Z195" s="27">
        <v>623.74381427876142</v>
      </c>
      <c r="AA195" s="28">
        <f t="shared" si="28"/>
        <v>16013.190131418409</v>
      </c>
      <c r="AB195" s="29"/>
      <c r="AC195" s="27">
        <v>49471.15259760723</v>
      </c>
      <c r="AD195" s="27">
        <v>44724.237899242711</v>
      </c>
      <c r="AE195" s="27">
        <v>61792.60361465934</v>
      </c>
      <c r="AF195" s="27">
        <v>33068.713357522356</v>
      </c>
      <c r="AG195" s="28">
        <f t="shared" si="29"/>
        <v>189056.70746903165</v>
      </c>
      <c r="AH195" s="27">
        <v>57733.697254924329</v>
      </c>
      <c r="AI195" s="27">
        <v>85808.135147897439</v>
      </c>
      <c r="AJ195" s="27">
        <v>189692.06135529064</v>
      </c>
      <c r="AK195" s="27">
        <v>128223.55240140877</v>
      </c>
      <c r="AL195" s="27">
        <v>96176.401250324765</v>
      </c>
      <c r="AM195" s="27">
        <v>86579.184780978889</v>
      </c>
      <c r="AN195" s="27">
        <v>75822.300704468042</v>
      </c>
      <c r="AO195" s="27">
        <v>68216.011812709112</v>
      </c>
      <c r="AP195" s="27">
        <v>60658.580834999419</v>
      </c>
      <c r="AQ195" s="27">
        <v>54838.196756025747</v>
      </c>
      <c r="AR195" s="27">
        <v>75766.41021188139</v>
      </c>
      <c r="AS195" s="27">
        <v>40546.886760906287</v>
      </c>
      <c r="AT195" s="28">
        <f t="shared" si="30"/>
        <v>1020061.419271815</v>
      </c>
      <c r="AU195" s="30">
        <f t="shared" si="35"/>
        <v>61.971920926349384</v>
      </c>
      <c r="AV195" s="30">
        <f t="shared" si="35"/>
        <v>61.971920926349412</v>
      </c>
      <c r="AW195" s="30">
        <f t="shared" si="35"/>
        <v>61.971920926349434</v>
      </c>
      <c r="AX195" s="30">
        <f t="shared" si="35"/>
        <v>61.971920926349362</v>
      </c>
      <c r="AY195" s="31">
        <f t="shared" si="35"/>
        <v>61.971920926349405</v>
      </c>
      <c r="AZ195" s="30">
        <f t="shared" si="34"/>
        <v>62.505455322771233</v>
      </c>
      <c r="BA195" s="30">
        <f t="shared" si="34"/>
        <v>62.505455322771262</v>
      </c>
      <c r="BB195" s="30">
        <f t="shared" si="34"/>
        <v>62.505455322771226</v>
      </c>
      <c r="BC195" s="30">
        <f t="shared" si="34"/>
        <v>62.505455322771226</v>
      </c>
      <c r="BD195" s="30">
        <f t="shared" si="34"/>
        <v>63.404679857452649</v>
      </c>
      <c r="BE195" s="30">
        <f t="shared" si="34"/>
        <v>65.005673535682064</v>
      </c>
      <c r="BF195" s="30">
        <f t="shared" si="34"/>
        <v>65.005673535682121</v>
      </c>
      <c r="BG195" s="30">
        <f t="shared" si="34"/>
        <v>65.005673535682106</v>
      </c>
      <c r="BH195" s="30">
        <f t="shared" si="34"/>
        <v>65.005673535682135</v>
      </c>
      <c r="BI195" s="30">
        <f t="shared" si="33"/>
        <v>65.005673535682106</v>
      </c>
      <c r="BJ195" s="30">
        <f t="shared" si="33"/>
        <v>65.005673535682092</v>
      </c>
      <c r="BK195" s="30">
        <f t="shared" si="33"/>
        <v>65.005673535682092</v>
      </c>
      <c r="BL195" s="31">
        <f t="shared" si="33"/>
        <v>63.70132440196415</v>
      </c>
    </row>
    <row r="196" spans="2:64" ht="15" x14ac:dyDescent="0.4">
      <c r="B196" t="s">
        <v>311</v>
      </c>
      <c r="C196" s="26">
        <v>54041</v>
      </c>
      <c r="D196" t="s">
        <v>312</v>
      </c>
      <c r="E196" t="s">
        <v>312</v>
      </c>
      <c r="F196" t="s">
        <v>32</v>
      </c>
      <c r="G196" t="s">
        <v>16</v>
      </c>
      <c r="H196" t="s">
        <v>126</v>
      </c>
      <c r="J196" s="27">
        <v>0</v>
      </c>
      <c r="K196" s="27">
        <v>0</v>
      </c>
      <c r="L196" s="27">
        <v>22789.49321705</v>
      </c>
      <c r="M196" s="27">
        <v>7979.9526914865437</v>
      </c>
      <c r="N196" s="28">
        <f t="shared" si="27"/>
        <v>30769.445908536545</v>
      </c>
      <c r="O196" s="27">
        <v>11341.491354635129</v>
      </c>
      <c r="P196" s="27">
        <v>16462.378302314439</v>
      </c>
      <c r="Q196" s="27">
        <v>23992.861493097531</v>
      </c>
      <c r="R196" s="27">
        <v>11790.539415662686</v>
      </c>
      <c r="S196" s="27">
        <v>10520.177482295854</v>
      </c>
      <c r="T196" s="27">
        <v>12238.966386702645</v>
      </c>
      <c r="U196" s="27">
        <v>14356.262154396854</v>
      </c>
      <c r="V196" s="27">
        <v>11377.359301418448</v>
      </c>
      <c r="W196" s="27">
        <v>8733.8450417386393</v>
      </c>
      <c r="X196" s="27">
        <v>7177.2382603412643</v>
      </c>
      <c r="Y196" s="27">
        <v>11346.615347032757</v>
      </c>
      <c r="Z196" s="27">
        <v>5497.6556614010879</v>
      </c>
      <c r="AA196" s="28">
        <f t="shared" si="28"/>
        <v>144835.39020103731</v>
      </c>
      <c r="AB196" s="29"/>
      <c r="AC196" s="27">
        <v>0</v>
      </c>
      <c r="AD196" s="27">
        <v>0</v>
      </c>
      <c r="AE196" s="27">
        <v>212502.00872640451</v>
      </c>
      <c r="AF196" s="27">
        <v>81004.687873990595</v>
      </c>
      <c r="AG196" s="28">
        <f t="shared" si="29"/>
        <v>293506.69660039514</v>
      </c>
      <c r="AH196" s="27">
        <v>122520.52702680626</v>
      </c>
      <c r="AI196" s="27">
        <v>177840.74445288113</v>
      </c>
      <c r="AJ196" s="27">
        <v>259191.48929334473</v>
      </c>
      <c r="AK196" s="27">
        <v>127371.52971923222</v>
      </c>
      <c r="AL196" s="27">
        <v>117131.93946014064</v>
      </c>
      <c r="AM196" s="27">
        <v>137504.45577894035</v>
      </c>
      <c r="AN196" s="27">
        <v>161292.21636762546</v>
      </c>
      <c r="AO196" s="27">
        <v>127824.32351826181</v>
      </c>
      <c r="AP196" s="27">
        <v>98124.512428326052</v>
      </c>
      <c r="AQ196" s="27">
        <v>80636.077410610538</v>
      </c>
      <c r="AR196" s="27">
        <v>127478.91602364759</v>
      </c>
      <c r="AS196" s="27">
        <v>61766.012414438184</v>
      </c>
      <c r="AT196" s="28">
        <f t="shared" si="30"/>
        <v>1598682.7438942553</v>
      </c>
      <c r="AU196" s="30">
        <f t="shared" si="35"/>
        <v>0</v>
      </c>
      <c r="AV196" s="30">
        <f t="shared" si="35"/>
        <v>0</v>
      </c>
      <c r="AW196" s="30">
        <f t="shared" si="35"/>
        <v>9.3245605201707935</v>
      </c>
      <c r="AX196" s="30">
        <f t="shared" si="35"/>
        <v>10.151023571908</v>
      </c>
      <c r="AY196" s="31">
        <f t="shared" si="35"/>
        <v>9.5389009432557206</v>
      </c>
      <c r="AZ196" s="30">
        <f t="shared" si="34"/>
        <v>10.802858565574237</v>
      </c>
      <c r="BA196" s="30">
        <f t="shared" si="34"/>
        <v>10.802858565574246</v>
      </c>
      <c r="BB196" s="30">
        <f t="shared" si="34"/>
        <v>10.802858565574228</v>
      </c>
      <c r="BC196" s="30">
        <f t="shared" si="34"/>
        <v>10.80285856557423</v>
      </c>
      <c r="BD196" s="30">
        <f t="shared" si="34"/>
        <v>11.134026936072045</v>
      </c>
      <c r="BE196" s="30">
        <f t="shared" si="34"/>
        <v>11.234972908197197</v>
      </c>
      <c r="BF196" s="30">
        <f t="shared" si="34"/>
        <v>11.234972908197202</v>
      </c>
      <c r="BG196" s="30">
        <f t="shared" si="34"/>
        <v>11.234972908197211</v>
      </c>
      <c r="BH196" s="30">
        <f t="shared" si="34"/>
        <v>11.2349729081972</v>
      </c>
      <c r="BI196" s="30">
        <f t="shared" si="33"/>
        <v>11.234972908197204</v>
      </c>
      <c r="BJ196" s="30">
        <f t="shared" si="33"/>
        <v>11.234972908197198</v>
      </c>
      <c r="BK196" s="30">
        <f t="shared" si="33"/>
        <v>11.2349729081972</v>
      </c>
      <c r="BL196" s="31">
        <f t="shared" si="33"/>
        <v>11.037928932115415</v>
      </c>
    </row>
    <row r="197" spans="2:64" ht="15" x14ac:dyDescent="0.4">
      <c r="B197" t="s">
        <v>313</v>
      </c>
      <c r="C197" s="26">
        <v>53921</v>
      </c>
      <c r="D197" t="s">
        <v>312</v>
      </c>
      <c r="E197" t="s">
        <v>312</v>
      </c>
      <c r="F197" t="s">
        <v>32</v>
      </c>
      <c r="G197" t="s">
        <v>33</v>
      </c>
      <c r="H197" t="s">
        <v>34</v>
      </c>
      <c r="J197" s="27">
        <v>21373.374851050554</v>
      </c>
      <c r="K197" s="27">
        <v>17564.062907055915</v>
      </c>
      <c r="L197" s="27">
        <v>27767.319198342062</v>
      </c>
      <c r="M197" s="27">
        <v>13453.805819954685</v>
      </c>
      <c r="N197" s="28">
        <f t="shared" si="27"/>
        <v>80158.562776403211</v>
      </c>
      <c r="O197" s="27">
        <v>18351.744649433142</v>
      </c>
      <c r="P197" s="27">
        <v>26637.886806921008</v>
      </c>
      <c r="Q197" s="27">
        <v>38823.013108465093</v>
      </c>
      <c r="R197" s="27">
        <v>19078.352385013957</v>
      </c>
      <c r="S197" s="27">
        <v>17022.771061136238</v>
      </c>
      <c r="T197" s="27">
        <v>19803.955130642375</v>
      </c>
      <c r="U197" s="27">
        <v>23229.965878353196</v>
      </c>
      <c r="V197" s="27">
        <v>18409.782819183882</v>
      </c>
      <c r="W197" s="27">
        <v>14132.294334307293</v>
      </c>
      <c r="X197" s="27">
        <v>11613.538266120049</v>
      </c>
      <c r="Y197" s="27">
        <v>18360.0358165404</v>
      </c>
      <c r="Z197" s="27">
        <v>8895.7941873587897</v>
      </c>
      <c r="AA197" s="28">
        <f t="shared" si="28"/>
        <v>234359.1344434754</v>
      </c>
      <c r="AB197" s="29"/>
      <c r="AC197" s="27">
        <v>202080.12866809126</v>
      </c>
      <c r="AD197" s="27">
        <v>166063.99863977742</v>
      </c>
      <c r="AE197" s="27">
        <v>262533.33764429466</v>
      </c>
      <c r="AF197" s="27">
        <v>127202.50452344106</v>
      </c>
      <c r="AG197" s="28">
        <f t="shared" si="29"/>
        <v>757879.96947560448</v>
      </c>
      <c r="AH197" s="27">
        <v>176142.85114479158</v>
      </c>
      <c r="AI197" s="27">
        <v>255674.51053152149</v>
      </c>
      <c r="AJ197" s="27">
        <v>372629.21589135536</v>
      </c>
      <c r="AK197" s="27">
        <v>183116.94328992235</v>
      </c>
      <c r="AL197" s="27">
        <v>168198.50999911377</v>
      </c>
      <c r="AM197" s="27">
        <v>197684.64496333976</v>
      </c>
      <c r="AN197" s="27">
        <v>231883.35496010579</v>
      </c>
      <c r="AO197" s="27">
        <v>183767.9067870375</v>
      </c>
      <c r="AP197" s="27">
        <v>141069.67873666037</v>
      </c>
      <c r="AQ197" s="27">
        <v>115927.25663944856</v>
      </c>
      <c r="AR197" s="27">
        <v>183271.32827579102</v>
      </c>
      <c r="AS197" s="27">
        <v>88798.520497250021</v>
      </c>
      <c r="AT197" s="28">
        <f t="shared" si="30"/>
        <v>2298164.7217163374</v>
      </c>
      <c r="AU197" s="30">
        <f t="shared" si="35"/>
        <v>9.4547599560842652</v>
      </c>
      <c r="AV197" s="30">
        <f t="shared" si="35"/>
        <v>9.4547599560842741</v>
      </c>
      <c r="AW197" s="30">
        <f t="shared" si="35"/>
        <v>9.4547599560842759</v>
      </c>
      <c r="AX197" s="30">
        <f t="shared" si="35"/>
        <v>9.4547599560842706</v>
      </c>
      <c r="AY197" s="31">
        <f t="shared" si="35"/>
        <v>9.4547599560842723</v>
      </c>
      <c r="AZ197" s="30">
        <f t="shared" si="34"/>
        <v>9.5981529009685946</v>
      </c>
      <c r="BA197" s="30">
        <f t="shared" si="34"/>
        <v>9.5981529009685786</v>
      </c>
      <c r="BB197" s="30">
        <f t="shared" si="34"/>
        <v>9.5981529009685786</v>
      </c>
      <c r="BC197" s="30">
        <f t="shared" si="34"/>
        <v>9.5981529009685698</v>
      </c>
      <c r="BD197" s="30">
        <f t="shared" si="34"/>
        <v>9.8807949302166573</v>
      </c>
      <c r="BE197" s="30">
        <f t="shared" si="34"/>
        <v>9.9820790170073224</v>
      </c>
      <c r="BF197" s="30">
        <f t="shared" si="34"/>
        <v>9.9820790170073348</v>
      </c>
      <c r="BG197" s="30">
        <f t="shared" si="34"/>
        <v>9.9820790170073312</v>
      </c>
      <c r="BH197" s="30">
        <f t="shared" si="34"/>
        <v>9.9820790170073277</v>
      </c>
      <c r="BI197" s="30">
        <f t="shared" si="33"/>
        <v>9.9820790170073241</v>
      </c>
      <c r="BJ197" s="30">
        <f t="shared" si="33"/>
        <v>9.982079017007333</v>
      </c>
      <c r="BK197" s="30">
        <f t="shared" si="33"/>
        <v>9.9820790170073384</v>
      </c>
      <c r="BL197" s="31">
        <f t="shared" si="33"/>
        <v>9.8061666218972441</v>
      </c>
    </row>
    <row r="198" spans="2:64" ht="15" x14ac:dyDescent="0.4">
      <c r="B198" t="s">
        <v>314</v>
      </c>
      <c r="C198" s="26">
        <v>53920</v>
      </c>
      <c r="D198" t="s">
        <v>312</v>
      </c>
      <c r="E198" t="s">
        <v>312</v>
      </c>
      <c r="F198" t="s">
        <v>32</v>
      </c>
      <c r="G198" t="s">
        <v>33</v>
      </c>
      <c r="H198" t="s">
        <v>34</v>
      </c>
      <c r="J198" s="27">
        <v>41045.632704174255</v>
      </c>
      <c r="K198" s="27">
        <v>33730.19375274716</v>
      </c>
      <c r="L198" s="27">
        <v>53324.62434862947</v>
      </c>
      <c r="M198" s="27">
        <v>25836.816881167422</v>
      </c>
      <c r="N198" s="28">
        <f t="shared" ref="N198:N237" si="36">SUM(J198:M198)</f>
        <v>153937.26768671829</v>
      </c>
      <c r="O198" s="27">
        <v>33308.116867977951</v>
      </c>
      <c r="P198" s="27">
        <v>48347.329577098222</v>
      </c>
      <c r="Q198" s="27">
        <v>70463.134840083861</v>
      </c>
      <c r="R198" s="27">
        <v>34626.89804307733</v>
      </c>
      <c r="S198" s="27">
        <v>30896.051506398522</v>
      </c>
      <c r="T198" s="27">
        <v>35943.855177823811</v>
      </c>
      <c r="U198" s="27">
        <v>42162.00874063652</v>
      </c>
      <c r="V198" s="27">
        <v>33413.45519835419</v>
      </c>
      <c r="W198" s="27">
        <v>25649.88344660246</v>
      </c>
      <c r="X198" s="27">
        <v>21078.382312311067</v>
      </c>
      <c r="Y198" s="27">
        <v>33323.165200888878</v>
      </c>
      <c r="Z198" s="27">
        <v>16145.72118815843</v>
      </c>
      <c r="AA198" s="28">
        <f t="shared" ref="AA198:AA237" si="37">SUM(O198:Z198)</f>
        <v>425358.00209941127</v>
      </c>
      <c r="AB198" s="29"/>
      <c r="AC198" s="27">
        <v>376395.02443132311</v>
      </c>
      <c r="AD198" s="27">
        <v>309311.27784387604</v>
      </c>
      <c r="AE198" s="27">
        <v>488995.34401506069</v>
      </c>
      <c r="AF198" s="27">
        <v>236927.74798488204</v>
      </c>
      <c r="AG198" s="28">
        <f t="shared" ref="AG198:AG237" si="38">SUM(AC198:AF198)</f>
        <v>1411629.3942751419</v>
      </c>
      <c r="AH198" s="27">
        <v>311661.41853153391</v>
      </c>
      <c r="AI198" s="27">
        <v>452382.14390607603</v>
      </c>
      <c r="AJ198" s="27">
        <v>659317.98682836816</v>
      </c>
      <c r="AK198" s="27">
        <v>324001.14981665142</v>
      </c>
      <c r="AL198" s="27">
        <v>297238.88106494182</v>
      </c>
      <c r="AM198" s="27">
        <v>349776.76624827884</v>
      </c>
      <c r="AN198" s="27">
        <v>410286.84883334674</v>
      </c>
      <c r="AO198" s="27">
        <v>325152.9434069366</v>
      </c>
      <c r="AP198" s="27">
        <v>249604.09066340575</v>
      </c>
      <c r="AQ198" s="27">
        <v>205117.90865142946</v>
      </c>
      <c r="AR198" s="27">
        <v>324274.31357767247</v>
      </c>
      <c r="AS198" s="27">
        <v>157117.20732239756</v>
      </c>
      <c r="AT198" s="28">
        <f t="shared" ref="AT198:AT237" si="39">SUM(AH198:AS198)</f>
        <v>4065931.6588510391</v>
      </c>
      <c r="AU198" s="30">
        <f t="shared" si="35"/>
        <v>9.1701601274876801</v>
      </c>
      <c r="AV198" s="30">
        <f t="shared" si="35"/>
        <v>9.1701601274876801</v>
      </c>
      <c r="AW198" s="30">
        <f t="shared" si="35"/>
        <v>9.1701601274876801</v>
      </c>
      <c r="AX198" s="30">
        <f t="shared" si="35"/>
        <v>9.1701601274876783</v>
      </c>
      <c r="AY198" s="31">
        <f t="shared" si="35"/>
        <v>9.1701601274876818</v>
      </c>
      <c r="AZ198" s="30">
        <f t="shared" si="34"/>
        <v>9.3569210101806046</v>
      </c>
      <c r="BA198" s="30">
        <f t="shared" si="34"/>
        <v>9.356921010180594</v>
      </c>
      <c r="BB198" s="30">
        <f t="shared" si="34"/>
        <v>9.3569210101805833</v>
      </c>
      <c r="BC198" s="30">
        <f t="shared" si="34"/>
        <v>9.3569210101805904</v>
      </c>
      <c r="BD198" s="30">
        <f t="shared" si="34"/>
        <v>9.6206106143817163</v>
      </c>
      <c r="BE198" s="30">
        <f t="shared" si="34"/>
        <v>9.7311978505878169</v>
      </c>
      <c r="BF198" s="30">
        <f t="shared" si="34"/>
        <v>9.7311978505878134</v>
      </c>
      <c r="BG198" s="30">
        <f t="shared" si="34"/>
        <v>9.7311978505878169</v>
      </c>
      <c r="BH198" s="30">
        <f t="shared" si="34"/>
        <v>9.7311978505878116</v>
      </c>
      <c r="BI198" s="30">
        <f t="shared" si="33"/>
        <v>9.7311978505878045</v>
      </c>
      <c r="BJ198" s="30">
        <f t="shared" si="33"/>
        <v>9.7311978505878134</v>
      </c>
      <c r="BK198" s="30">
        <f t="shared" si="33"/>
        <v>9.7311978505878223</v>
      </c>
      <c r="BL198" s="31">
        <f t="shared" si="33"/>
        <v>9.5588460515215186</v>
      </c>
    </row>
    <row r="199" spans="2:64" ht="15" x14ac:dyDescent="0.4">
      <c r="B199" t="s">
        <v>315</v>
      </c>
      <c r="C199" s="26">
        <v>53302</v>
      </c>
      <c r="D199" t="s">
        <v>316</v>
      </c>
      <c r="E199" t="s">
        <v>316</v>
      </c>
      <c r="F199" t="s">
        <v>133</v>
      </c>
      <c r="G199" t="s">
        <v>33</v>
      </c>
      <c r="H199" t="s">
        <v>34</v>
      </c>
      <c r="J199" s="27">
        <v>8551.0093725758161</v>
      </c>
      <c r="K199" s="27">
        <v>5907.9560201236873</v>
      </c>
      <c r="L199" s="27">
        <v>9616.3170798077645</v>
      </c>
      <c r="M199" s="27">
        <v>4279.1861789102077</v>
      </c>
      <c r="N199" s="28">
        <f t="shared" si="36"/>
        <v>28354.468651417475</v>
      </c>
      <c r="O199" s="27">
        <v>5870.6610648986934</v>
      </c>
      <c r="P199" s="27">
        <v>7617.4880008435684</v>
      </c>
      <c r="Q199" s="27">
        <v>10829.825041095015</v>
      </c>
      <c r="R199" s="27">
        <v>5069.0499534887058</v>
      </c>
      <c r="S199" s="27">
        <v>7509.675343877454</v>
      </c>
      <c r="T199" s="27">
        <v>10487.181576648067</v>
      </c>
      <c r="U199" s="27">
        <v>9647.0503560184025</v>
      </c>
      <c r="V199" s="27">
        <v>5599.8199570141896</v>
      </c>
      <c r="W199" s="27">
        <v>7223.5571388520002</v>
      </c>
      <c r="X199" s="27">
        <v>4990.8093917025717</v>
      </c>
      <c r="Y199" s="27">
        <v>8123.4872825762259</v>
      </c>
      <c r="Z199" s="27">
        <v>3614.8885499154057</v>
      </c>
      <c r="AA199" s="28">
        <f t="shared" si="37"/>
        <v>86583.493656930281</v>
      </c>
      <c r="AB199" s="29"/>
      <c r="AC199" s="27">
        <v>112206.84822708214</v>
      </c>
      <c r="AD199" s="27">
        <v>77524.546588422847</v>
      </c>
      <c r="AE199" s="27">
        <v>126185.87865638781</v>
      </c>
      <c r="AF199" s="27">
        <v>56151.73287639246</v>
      </c>
      <c r="AG199" s="28">
        <f t="shared" si="38"/>
        <v>372069.00634828524</v>
      </c>
      <c r="AH199" s="27">
        <v>77331.859321206517</v>
      </c>
      <c r="AI199" s="27">
        <v>100342.10865695385</v>
      </c>
      <c r="AJ199" s="27">
        <v>142656.93374102013</v>
      </c>
      <c r="AK199" s="27">
        <v>66772.558245469365</v>
      </c>
      <c r="AL199" s="27">
        <v>102822.24205683423</v>
      </c>
      <c r="AM199" s="27">
        <v>143669.16622366835</v>
      </c>
      <c r="AN199" s="27">
        <v>132159.78678705191</v>
      </c>
      <c r="AO199" s="27">
        <v>76714.745362884205</v>
      </c>
      <c r="AP199" s="27">
        <v>98959.136324938096</v>
      </c>
      <c r="AQ199" s="27">
        <v>68371.603833366549</v>
      </c>
      <c r="AR199" s="27">
        <v>111287.73123515703</v>
      </c>
      <c r="AS199" s="27">
        <v>49522.173346771349</v>
      </c>
      <c r="AT199" s="28">
        <f t="shared" si="39"/>
        <v>1170610.0451353218</v>
      </c>
      <c r="AU199" s="30">
        <f t="shared" si="35"/>
        <v>13.122058851548438</v>
      </c>
      <c r="AV199" s="30">
        <f t="shared" si="35"/>
        <v>13.122058851548427</v>
      </c>
      <c r="AW199" s="30">
        <f t="shared" si="35"/>
        <v>13.122058851548429</v>
      </c>
      <c r="AX199" s="30">
        <f t="shared" si="35"/>
        <v>13.122058851548445</v>
      </c>
      <c r="AY199" s="31">
        <f t="shared" si="35"/>
        <v>13.122058851548433</v>
      </c>
      <c r="AZ199" s="30">
        <f t="shared" si="34"/>
        <v>13.172598190616373</v>
      </c>
      <c r="BA199" s="30">
        <f t="shared" si="34"/>
        <v>13.172598190616363</v>
      </c>
      <c r="BB199" s="30">
        <f t="shared" si="34"/>
        <v>13.172598190616377</v>
      </c>
      <c r="BC199" s="30">
        <f t="shared" si="34"/>
        <v>13.172598190616378</v>
      </c>
      <c r="BD199" s="30">
        <f t="shared" si="34"/>
        <v>13.691969006444992</v>
      </c>
      <c r="BE199" s="30">
        <f t="shared" si="34"/>
        <v>13.699502118241016</v>
      </c>
      <c r="BF199" s="30">
        <f t="shared" si="34"/>
        <v>13.699502118241021</v>
      </c>
      <c r="BG199" s="30">
        <f t="shared" si="34"/>
        <v>13.699502118241016</v>
      </c>
      <c r="BH199" s="30">
        <f t="shared" si="34"/>
        <v>13.69950211824103</v>
      </c>
      <c r="BI199" s="30">
        <f t="shared" si="33"/>
        <v>13.699502118241018</v>
      </c>
      <c r="BJ199" s="30">
        <f t="shared" si="33"/>
        <v>13.699502118241025</v>
      </c>
      <c r="BK199" s="30">
        <f t="shared" si="33"/>
        <v>13.69950211824103</v>
      </c>
      <c r="BL199" s="31">
        <f t="shared" si="33"/>
        <v>13.520013985271017</v>
      </c>
    </row>
    <row r="200" spans="2:64" ht="15" x14ac:dyDescent="0.4">
      <c r="B200" t="s">
        <v>317</v>
      </c>
      <c r="C200" s="26">
        <v>53322</v>
      </c>
      <c r="D200" t="s">
        <v>316</v>
      </c>
      <c r="E200" t="s">
        <v>316</v>
      </c>
      <c r="F200" t="s">
        <v>133</v>
      </c>
      <c r="G200" t="s">
        <v>33</v>
      </c>
      <c r="H200" t="s">
        <v>34</v>
      </c>
      <c r="J200" s="27">
        <v>28557.557213087988</v>
      </c>
      <c r="K200" s="27">
        <v>19730.62883057832</v>
      </c>
      <c r="L200" s="27">
        <v>32115.334368190761</v>
      </c>
      <c r="M200" s="27">
        <v>14291.073580343003</v>
      </c>
      <c r="N200" s="28">
        <f t="shared" si="36"/>
        <v>94694.593992200069</v>
      </c>
      <c r="O200" s="27">
        <v>15254.973567137617</v>
      </c>
      <c r="P200" s="27">
        <v>19794.121448375918</v>
      </c>
      <c r="Q200" s="27">
        <v>28141.412510837996</v>
      </c>
      <c r="R200" s="27">
        <v>13171.978793550894</v>
      </c>
      <c r="S200" s="27">
        <v>19513.969142862232</v>
      </c>
      <c r="T200" s="27">
        <v>27251.0499204402</v>
      </c>
      <c r="U200" s="27">
        <v>25067.960244174938</v>
      </c>
      <c r="V200" s="27">
        <v>14551.190143772215</v>
      </c>
      <c r="W200" s="27">
        <v>18770.488024383525</v>
      </c>
      <c r="X200" s="27">
        <v>12968.669883577873</v>
      </c>
      <c r="Y200" s="27">
        <v>21108.965821520742</v>
      </c>
      <c r="Z200" s="27">
        <v>9393.3253286969666</v>
      </c>
      <c r="AA200" s="28">
        <f t="shared" si="37"/>
        <v>224988.10482933113</v>
      </c>
      <c r="AB200" s="29"/>
      <c r="AC200" s="27">
        <v>379397.64087927435</v>
      </c>
      <c r="AD200" s="27">
        <v>262128.65391565301</v>
      </c>
      <c r="AE200" s="27">
        <v>426664.01766872674</v>
      </c>
      <c r="AF200" s="27">
        <v>189862.16368427136</v>
      </c>
      <c r="AG200" s="28">
        <f t="shared" si="38"/>
        <v>1258052.4761479255</v>
      </c>
      <c r="AH200" s="27">
        <v>205326.09672568878</v>
      </c>
      <c r="AI200" s="27">
        <v>266421.28727541695</v>
      </c>
      <c r="AJ200" s="27">
        <v>378772.62531907618</v>
      </c>
      <c r="AK200" s="27">
        <v>177289.78552014779</v>
      </c>
      <c r="AL200" s="27">
        <v>270437.41261250828</v>
      </c>
      <c r="AM200" s="27">
        <v>381460.23358901124</v>
      </c>
      <c r="AN200" s="27">
        <v>350901.34135237621</v>
      </c>
      <c r="AO200" s="27">
        <v>203687.57928398394</v>
      </c>
      <c r="AP200" s="27">
        <v>262749.31671496568</v>
      </c>
      <c r="AQ200" s="27">
        <v>181535.45854458169</v>
      </c>
      <c r="AR200" s="27">
        <v>295483.33207741898</v>
      </c>
      <c r="AS200" s="27">
        <v>131487.78063683643</v>
      </c>
      <c r="AT200" s="28">
        <f t="shared" si="39"/>
        <v>3105552.2496520118</v>
      </c>
      <c r="AU200" s="30">
        <f t="shared" si="35"/>
        <v>13.285367444012179</v>
      </c>
      <c r="AV200" s="30">
        <f t="shared" si="35"/>
        <v>13.285367444012163</v>
      </c>
      <c r="AW200" s="30">
        <f t="shared" si="35"/>
        <v>13.285367444012172</v>
      </c>
      <c r="AX200" s="30">
        <f t="shared" si="35"/>
        <v>13.285367444012168</v>
      </c>
      <c r="AY200" s="31">
        <f t="shared" si="35"/>
        <v>13.285367444012174</v>
      </c>
      <c r="AZ200" s="30">
        <f t="shared" si="34"/>
        <v>13.459616683178256</v>
      </c>
      <c r="BA200" s="30">
        <f t="shared" si="34"/>
        <v>13.45961668317825</v>
      </c>
      <c r="BB200" s="30">
        <f t="shared" si="34"/>
        <v>13.459616683178249</v>
      </c>
      <c r="BC200" s="30">
        <f t="shared" si="34"/>
        <v>13.459616683178256</v>
      </c>
      <c r="BD200" s="30">
        <f t="shared" si="34"/>
        <v>13.858657387055885</v>
      </c>
      <c r="BE200" s="30">
        <f t="shared" si="34"/>
        <v>13.998001350505373</v>
      </c>
      <c r="BF200" s="30">
        <f t="shared" si="34"/>
        <v>13.99800135050539</v>
      </c>
      <c r="BG200" s="30">
        <f t="shared" si="34"/>
        <v>13.998001350505373</v>
      </c>
      <c r="BH200" s="30">
        <f t="shared" si="34"/>
        <v>13.998001350505382</v>
      </c>
      <c r="BI200" s="30">
        <f t="shared" si="33"/>
        <v>13.998001350505394</v>
      </c>
      <c r="BJ200" s="30">
        <f t="shared" si="33"/>
        <v>13.998001350505367</v>
      </c>
      <c r="BK200" s="30">
        <f t="shared" si="33"/>
        <v>13.998001350505369</v>
      </c>
      <c r="BL200" s="31">
        <f t="shared" si="33"/>
        <v>13.803184181705008</v>
      </c>
    </row>
    <row r="201" spans="2:64" ht="15" x14ac:dyDescent="0.4">
      <c r="B201" t="s">
        <v>318</v>
      </c>
      <c r="C201" s="26">
        <v>53915</v>
      </c>
      <c r="D201" t="s">
        <v>319</v>
      </c>
      <c r="E201" t="s">
        <v>319</v>
      </c>
      <c r="F201" t="s">
        <v>109</v>
      </c>
      <c r="G201" t="s">
        <v>33</v>
      </c>
      <c r="H201" t="s">
        <v>34</v>
      </c>
      <c r="J201" s="27">
        <v>3765.2776909811555</v>
      </c>
      <c r="K201" s="27">
        <v>2681.9947379789946</v>
      </c>
      <c r="L201" s="27">
        <v>3348.9897521657595</v>
      </c>
      <c r="M201" s="27">
        <v>5859.6939417543799</v>
      </c>
      <c r="N201" s="28">
        <f t="shared" si="36"/>
        <v>15655.956122880289</v>
      </c>
      <c r="O201" s="27">
        <v>4682.503980335282</v>
      </c>
      <c r="P201" s="27">
        <v>5438.9049727901802</v>
      </c>
      <c r="Q201" s="27">
        <v>2900.5977961867225</v>
      </c>
      <c r="R201" s="27">
        <v>2097.830877511632</v>
      </c>
      <c r="S201" s="27">
        <v>3326.9824902508426</v>
      </c>
      <c r="T201" s="27">
        <v>5574.8207761219182</v>
      </c>
      <c r="U201" s="27">
        <v>4742.0523757749397</v>
      </c>
      <c r="V201" s="27">
        <v>5063.8864518915652</v>
      </c>
      <c r="W201" s="27">
        <v>3297.4355764830721</v>
      </c>
      <c r="X201" s="27">
        <v>2348.7523605856127</v>
      </c>
      <c r="Y201" s="27">
        <v>2932.8721173792087</v>
      </c>
      <c r="Z201" s="27">
        <v>5131.6170696053778</v>
      </c>
      <c r="AA201" s="28">
        <f t="shared" si="37"/>
        <v>47538.256844916352</v>
      </c>
      <c r="AB201" s="29"/>
      <c r="AC201" s="27">
        <v>57938.154323988558</v>
      </c>
      <c r="AD201" s="27">
        <v>41269.154038054709</v>
      </c>
      <c r="AE201" s="27">
        <v>51532.529872949279</v>
      </c>
      <c r="AF201" s="27">
        <v>90165.953151848182</v>
      </c>
      <c r="AG201" s="28">
        <f t="shared" si="38"/>
        <v>240905.79138684069</v>
      </c>
      <c r="AH201" s="27">
        <v>72760.437636047209</v>
      </c>
      <c r="AI201" s="27">
        <v>84513.992458528766</v>
      </c>
      <c r="AJ201" s="27">
        <v>45071.774833085823</v>
      </c>
      <c r="AK201" s="27">
        <v>32597.749702976198</v>
      </c>
      <c r="AL201" s="27">
        <v>53648.761160642898</v>
      </c>
      <c r="AM201" s="27">
        <v>90090.997714321173</v>
      </c>
      <c r="AN201" s="27">
        <v>76633.177442579792</v>
      </c>
      <c r="AO201" s="27">
        <v>81834.125451527871</v>
      </c>
      <c r="AP201" s="27">
        <v>53287.67917642578</v>
      </c>
      <c r="AQ201" s="27">
        <v>37956.636104851401</v>
      </c>
      <c r="AR201" s="27">
        <v>47396.209821656899</v>
      </c>
      <c r="AS201" s="27">
        <v>82928.675244371465</v>
      </c>
      <c r="AT201" s="28">
        <f t="shared" si="39"/>
        <v>758720.21674701525</v>
      </c>
      <c r="AU201" s="30">
        <f t="shared" si="35"/>
        <v>15.387485088487868</v>
      </c>
      <c r="AV201" s="30">
        <f t="shared" si="35"/>
        <v>15.387485088487869</v>
      </c>
      <c r="AW201" s="30">
        <f t="shared" si="35"/>
        <v>15.38748508848786</v>
      </c>
      <c r="AX201" s="30">
        <f t="shared" si="35"/>
        <v>15.387485088487862</v>
      </c>
      <c r="AY201" s="31">
        <f t="shared" si="35"/>
        <v>15.387485088487862</v>
      </c>
      <c r="AZ201" s="30">
        <f t="shared" si="34"/>
        <v>15.538788208533958</v>
      </c>
      <c r="BA201" s="30">
        <f t="shared" si="34"/>
        <v>15.538788208533958</v>
      </c>
      <c r="BB201" s="30">
        <f t="shared" si="34"/>
        <v>15.538788208533957</v>
      </c>
      <c r="BC201" s="30">
        <f t="shared" si="34"/>
        <v>15.53878820853396</v>
      </c>
      <c r="BD201" s="30">
        <f t="shared" si="34"/>
        <v>16.125351220768817</v>
      </c>
      <c r="BE201" s="30">
        <f t="shared" si="34"/>
        <v>16.160339736875326</v>
      </c>
      <c r="BF201" s="30">
        <f t="shared" si="34"/>
        <v>16.160339736875322</v>
      </c>
      <c r="BG201" s="30">
        <f t="shared" si="34"/>
        <v>16.160339736875326</v>
      </c>
      <c r="BH201" s="30">
        <f t="shared" si="34"/>
        <v>16.160339736875322</v>
      </c>
      <c r="BI201" s="30">
        <f t="shared" si="33"/>
        <v>16.160339736875326</v>
      </c>
      <c r="BJ201" s="30">
        <f t="shared" si="33"/>
        <v>16.160339736875326</v>
      </c>
      <c r="BK201" s="30">
        <f t="shared" si="33"/>
        <v>16.160339736875319</v>
      </c>
      <c r="BL201" s="31">
        <f t="shared" si="33"/>
        <v>15.960202731500688</v>
      </c>
    </row>
    <row r="202" spans="2:64" ht="15" x14ac:dyDescent="0.4">
      <c r="B202" t="s">
        <v>320</v>
      </c>
      <c r="C202" s="26">
        <v>52711</v>
      </c>
      <c r="D202" t="s">
        <v>321</v>
      </c>
      <c r="E202" t="s">
        <v>321</v>
      </c>
      <c r="F202" t="s">
        <v>109</v>
      </c>
      <c r="G202" t="s">
        <v>33</v>
      </c>
      <c r="H202" t="s">
        <v>34</v>
      </c>
      <c r="J202" s="27">
        <v>19081.276576508131</v>
      </c>
      <c r="K202" s="27">
        <v>27640.060245982608</v>
      </c>
      <c r="L202" s="27">
        <v>29669.064033872583</v>
      </c>
      <c r="M202" s="27">
        <v>16319.414552069986</v>
      </c>
      <c r="N202" s="28">
        <f t="shared" si="36"/>
        <v>92709.815408433307</v>
      </c>
      <c r="O202" s="27">
        <v>12277.639542171895</v>
      </c>
      <c r="P202" s="27">
        <v>22069.491854669031</v>
      </c>
      <c r="Q202" s="27">
        <v>37252.586593718683</v>
      </c>
      <c r="R202" s="27">
        <v>15634.783152009602</v>
      </c>
      <c r="S202" s="27">
        <v>14585.513170109216</v>
      </c>
      <c r="T202" s="27">
        <v>25680.597624917111</v>
      </c>
      <c r="U202" s="27">
        <v>14740.21194867283</v>
      </c>
      <c r="V202" s="27">
        <v>12893.632867422602</v>
      </c>
      <c r="W202" s="27">
        <v>11755.306020760485</v>
      </c>
      <c r="X202" s="27">
        <v>17028.072798011995</v>
      </c>
      <c r="Y202" s="27">
        <v>18278.070949251694</v>
      </c>
      <c r="Z202" s="27">
        <v>10053.819584346751</v>
      </c>
      <c r="AA202" s="28">
        <f t="shared" si="37"/>
        <v>212249.72610606189</v>
      </c>
      <c r="AB202" s="29"/>
      <c r="AC202" s="27">
        <v>95874.313133445045</v>
      </c>
      <c r="AD202" s="27">
        <v>138878.11858002873</v>
      </c>
      <c r="AE202" s="27">
        <v>149072.89479057852</v>
      </c>
      <c r="AF202" s="27">
        <v>81997.273853570528</v>
      </c>
      <c r="AG202" s="28">
        <f t="shared" si="38"/>
        <v>465822.60035762278</v>
      </c>
      <c r="AH202" s="27">
        <v>57724.341875903141</v>
      </c>
      <c r="AI202" s="27">
        <v>103761.54866499809</v>
      </c>
      <c r="AJ202" s="27">
        <v>175146.12942587672</v>
      </c>
      <c r="AK202" s="27">
        <v>73508.231343837004</v>
      </c>
      <c r="AL202" s="27">
        <v>69548.483190015439</v>
      </c>
      <c r="AM202" s="27">
        <v>125569.04081259799</v>
      </c>
      <c r="AN202" s="27">
        <v>72074.423765487343</v>
      </c>
      <c r="AO202" s="27">
        <v>63045.305074253287</v>
      </c>
      <c r="AP202" s="27">
        <v>57479.289346959558</v>
      </c>
      <c r="AQ202" s="27">
        <v>83261.254249738733</v>
      </c>
      <c r="AR202" s="27">
        <v>89373.303165469479</v>
      </c>
      <c r="AS202" s="27">
        <v>49159.622379053224</v>
      </c>
      <c r="AT202" s="28">
        <f t="shared" si="39"/>
        <v>1019650.97329419</v>
      </c>
      <c r="AU202" s="30">
        <f t="shared" si="35"/>
        <v>5.0245230055247188</v>
      </c>
      <c r="AV202" s="30">
        <f t="shared" si="35"/>
        <v>5.0245230055247152</v>
      </c>
      <c r="AW202" s="30">
        <f t="shared" si="35"/>
        <v>5.024523005524709</v>
      </c>
      <c r="AX202" s="30">
        <f t="shared" si="35"/>
        <v>5.0245230055247196</v>
      </c>
      <c r="AY202" s="31">
        <f t="shared" si="35"/>
        <v>5.0245230055247143</v>
      </c>
      <c r="AZ202" s="30">
        <f t="shared" si="34"/>
        <v>4.7015830427036462</v>
      </c>
      <c r="BA202" s="30">
        <f t="shared" si="34"/>
        <v>4.7015830427036427</v>
      </c>
      <c r="BB202" s="30">
        <f t="shared" si="34"/>
        <v>4.70158304270364</v>
      </c>
      <c r="BC202" s="30">
        <f t="shared" si="34"/>
        <v>4.7015830427036454</v>
      </c>
      <c r="BD202" s="30">
        <f t="shared" si="34"/>
        <v>4.7683261040512752</v>
      </c>
      <c r="BE202" s="30">
        <f t="shared" si="34"/>
        <v>4.8896463644117896</v>
      </c>
      <c r="BF202" s="30">
        <f t="shared" si="34"/>
        <v>4.8896463644117913</v>
      </c>
      <c r="BG202" s="30">
        <f t="shared" si="34"/>
        <v>4.8896463644117896</v>
      </c>
      <c r="BH202" s="30">
        <f t="shared" si="34"/>
        <v>4.8896463644117922</v>
      </c>
      <c r="BI202" s="30">
        <f t="shared" si="33"/>
        <v>4.8896463644117949</v>
      </c>
      <c r="BJ202" s="30">
        <f t="shared" si="33"/>
        <v>4.8896463644117993</v>
      </c>
      <c r="BK202" s="30">
        <f t="shared" si="33"/>
        <v>4.8896463644117976</v>
      </c>
      <c r="BL202" s="31">
        <f t="shared" si="33"/>
        <v>4.8040154962775645</v>
      </c>
    </row>
    <row r="203" spans="2:64" ht="15" x14ac:dyDescent="0.4">
      <c r="B203" t="s">
        <v>322</v>
      </c>
      <c r="C203" s="26">
        <v>53769</v>
      </c>
      <c r="D203" t="s">
        <v>321</v>
      </c>
      <c r="E203" t="s">
        <v>321</v>
      </c>
      <c r="F203" t="s">
        <v>109</v>
      </c>
      <c r="G203" t="s">
        <v>33</v>
      </c>
      <c r="H203" t="s">
        <v>34</v>
      </c>
      <c r="J203" s="27">
        <v>11932.897480932403</v>
      </c>
      <c r="K203" s="27">
        <v>17285.321763438493</v>
      </c>
      <c r="L203" s="27">
        <v>18554.204067629988</v>
      </c>
      <c r="M203" s="27">
        <v>10205.706102412389</v>
      </c>
      <c r="N203" s="28">
        <f t="shared" si="36"/>
        <v>57978.129414413277</v>
      </c>
      <c r="O203" s="27">
        <v>13307.447391892303</v>
      </c>
      <c r="P203" s="27">
        <v>23920.607932251653</v>
      </c>
      <c r="Q203" s="27">
        <v>40377.21050573606</v>
      </c>
      <c r="R203" s="27">
        <v>16946.177118521791</v>
      </c>
      <c r="S203" s="27">
        <v>15808.897836452135</v>
      </c>
      <c r="T203" s="27">
        <v>27834.601326427666</v>
      </c>
      <c r="U203" s="27">
        <v>15976.572237565977</v>
      </c>
      <c r="V203" s="27">
        <v>13975.108202537036</v>
      </c>
      <c r="W203" s="27">
        <v>12741.302260059045</v>
      </c>
      <c r="X203" s="27">
        <v>18456.331297764373</v>
      </c>
      <c r="Y203" s="27">
        <v>19811.175164979155</v>
      </c>
      <c r="Z203" s="27">
        <v>10897.100761650443</v>
      </c>
      <c r="AA203" s="28">
        <f t="shared" si="37"/>
        <v>230052.53203583765</v>
      </c>
      <c r="AB203" s="29"/>
      <c r="AC203" s="27">
        <v>47307.756508166647</v>
      </c>
      <c r="AD203" s="27">
        <v>68527.345890360259</v>
      </c>
      <c r="AE203" s="27">
        <v>73557.80686433005</v>
      </c>
      <c r="AF203" s="27">
        <v>40460.337487883196</v>
      </c>
      <c r="AG203" s="28">
        <f t="shared" si="38"/>
        <v>229853.24675074016</v>
      </c>
      <c r="AH203" s="27">
        <v>54709.304566046994</v>
      </c>
      <c r="AI203" s="27">
        <v>98341.912331577783</v>
      </c>
      <c r="AJ203" s="27">
        <v>165997.95903995601</v>
      </c>
      <c r="AK203" s="27">
        <v>69668.775528824597</v>
      </c>
      <c r="AL203" s="27">
        <v>66556.419014316722</v>
      </c>
      <c r="AM203" s="27">
        <v>119010.36329962192</v>
      </c>
      <c r="AN203" s="27">
        <v>68309.858078337536</v>
      </c>
      <c r="AO203" s="27">
        <v>59752.345105670487</v>
      </c>
      <c r="AP203" s="27">
        <v>54477.051533704485</v>
      </c>
      <c r="AQ203" s="27">
        <v>78912.382008491477</v>
      </c>
      <c r="AR203" s="27">
        <v>84705.188557454137</v>
      </c>
      <c r="AS203" s="27">
        <v>46591.934454088652</v>
      </c>
      <c r="AT203" s="28">
        <f t="shared" si="39"/>
        <v>967033.49351809081</v>
      </c>
      <c r="AU203" s="30">
        <f t="shared" si="35"/>
        <v>3.9644819360729273</v>
      </c>
      <c r="AV203" s="30">
        <f t="shared" si="35"/>
        <v>3.964481936072934</v>
      </c>
      <c r="AW203" s="30">
        <f t="shared" si="35"/>
        <v>3.9644819360729344</v>
      </c>
      <c r="AX203" s="30">
        <f t="shared" si="35"/>
        <v>3.9644819360729313</v>
      </c>
      <c r="AY203" s="31">
        <f t="shared" si="35"/>
        <v>3.9644819360729322</v>
      </c>
      <c r="AZ203" s="30">
        <f t="shared" si="34"/>
        <v>4.1111794737869252</v>
      </c>
      <c r="BA203" s="30">
        <f t="shared" si="34"/>
        <v>4.1111794737869287</v>
      </c>
      <c r="BB203" s="30">
        <f t="shared" si="34"/>
        <v>4.1111794737869287</v>
      </c>
      <c r="BC203" s="30">
        <f t="shared" si="34"/>
        <v>4.111179473786934</v>
      </c>
      <c r="BD203" s="30">
        <f t="shared" si="34"/>
        <v>4.2100606698115932</v>
      </c>
      <c r="BE203" s="30">
        <f t="shared" si="34"/>
        <v>4.2756266527384064</v>
      </c>
      <c r="BF203" s="30">
        <f t="shared" si="34"/>
        <v>4.2756266527384046</v>
      </c>
      <c r="BG203" s="30">
        <f t="shared" si="34"/>
        <v>4.2756266527384073</v>
      </c>
      <c r="BH203" s="30">
        <f t="shared" si="34"/>
        <v>4.2756266527384019</v>
      </c>
      <c r="BI203" s="30">
        <f t="shared" si="33"/>
        <v>4.2756266527384117</v>
      </c>
      <c r="BJ203" s="30">
        <f t="shared" si="33"/>
        <v>4.2756266527384099</v>
      </c>
      <c r="BK203" s="30">
        <f t="shared" si="33"/>
        <v>4.275626652738409</v>
      </c>
      <c r="BL203" s="31">
        <f t="shared" si="33"/>
        <v>4.2035333624037055</v>
      </c>
    </row>
    <row r="204" spans="2:64" ht="15" x14ac:dyDescent="0.4">
      <c r="B204" t="s">
        <v>323</v>
      </c>
      <c r="C204" s="26">
        <v>53894</v>
      </c>
      <c r="D204" t="s">
        <v>324</v>
      </c>
      <c r="E204" t="s">
        <v>324</v>
      </c>
      <c r="F204" t="s">
        <v>306</v>
      </c>
      <c r="G204" t="s">
        <v>33</v>
      </c>
      <c r="H204" t="s">
        <v>34</v>
      </c>
      <c r="J204" s="27">
        <v>1185.8520205248276</v>
      </c>
      <c r="K204" s="27">
        <v>602.1716361851494</v>
      </c>
      <c r="L204" s="27">
        <v>947.47566521254885</v>
      </c>
      <c r="M204" s="27">
        <v>611.8192458436572</v>
      </c>
      <c r="N204" s="28">
        <f t="shared" si="36"/>
        <v>3347.3185677661832</v>
      </c>
      <c r="O204" s="27">
        <v>895.2857484230185</v>
      </c>
      <c r="P204" s="27">
        <v>1296.7871909444732</v>
      </c>
      <c r="Q204" s="27">
        <v>2025.3958907394201</v>
      </c>
      <c r="R204" s="27">
        <v>1201.3809075730401</v>
      </c>
      <c r="S204" s="27">
        <v>961.44546278475764</v>
      </c>
      <c r="T204" s="27">
        <v>569.03033296534386</v>
      </c>
      <c r="U204" s="27">
        <v>898.72151041348286</v>
      </c>
      <c r="V204" s="27">
        <v>877.93657010755828</v>
      </c>
      <c r="W204" s="27">
        <v>837.64445221944379</v>
      </c>
      <c r="X204" s="27">
        <v>425.35301336431394</v>
      </c>
      <c r="Y204" s="27">
        <v>669.26371995973909</v>
      </c>
      <c r="Z204" s="27">
        <v>432.16774789084508</v>
      </c>
      <c r="AA204" s="28">
        <f t="shared" si="37"/>
        <v>11090.412547385436</v>
      </c>
      <c r="AB204" s="29"/>
      <c r="AC204" s="27">
        <v>29140.192701180564</v>
      </c>
      <c r="AD204" s="27">
        <v>14797.291073345245</v>
      </c>
      <c r="AE204" s="27">
        <v>23282.520066672056</v>
      </c>
      <c r="AF204" s="27">
        <v>15034.363827524341</v>
      </c>
      <c r="AG204" s="28">
        <f t="shared" si="38"/>
        <v>82254.367668722218</v>
      </c>
      <c r="AH204" s="27">
        <v>21717.063798979401</v>
      </c>
      <c r="AI204" s="27">
        <v>31456.336939403402</v>
      </c>
      <c r="AJ204" s="27">
        <v>49130.293713327017</v>
      </c>
      <c r="AK204" s="27">
        <v>29142.054212966013</v>
      </c>
      <c r="AL204" s="27">
        <v>24154.878838116132</v>
      </c>
      <c r="AM204" s="27">
        <v>14355.165140273044</v>
      </c>
      <c r="AN204" s="27">
        <v>22672.421749240733</v>
      </c>
      <c r="AO204" s="27">
        <v>22148.071405793526</v>
      </c>
      <c r="AP204" s="27">
        <v>21131.605371160429</v>
      </c>
      <c r="AQ204" s="27">
        <v>10730.557574914679</v>
      </c>
      <c r="AR204" s="27">
        <v>16883.794528754272</v>
      </c>
      <c r="AS204" s="27">
        <v>10902.475720307171</v>
      </c>
      <c r="AT204" s="28">
        <f t="shared" si="39"/>
        <v>274424.71899323585</v>
      </c>
      <c r="AU204" s="30">
        <f t="shared" si="35"/>
        <v>24.573211662854749</v>
      </c>
      <c r="AV204" s="30">
        <f t="shared" si="35"/>
        <v>24.573211662854757</v>
      </c>
      <c r="AW204" s="30">
        <f t="shared" si="35"/>
        <v>24.573211662854739</v>
      </c>
      <c r="AX204" s="30">
        <f t="shared" si="35"/>
        <v>24.573211662854728</v>
      </c>
      <c r="AY204" s="31">
        <f t="shared" si="35"/>
        <v>24.573211662854746</v>
      </c>
      <c r="AZ204" s="30">
        <f t="shared" si="34"/>
        <v>24.257131130739484</v>
      </c>
      <c r="BA204" s="30">
        <f t="shared" si="34"/>
        <v>24.257131130739495</v>
      </c>
      <c r="BB204" s="30">
        <f t="shared" si="34"/>
        <v>24.257131130739484</v>
      </c>
      <c r="BC204" s="30">
        <f t="shared" si="34"/>
        <v>24.257131130739456</v>
      </c>
      <c r="BD204" s="30">
        <f t="shared" si="34"/>
        <v>25.12350390437463</v>
      </c>
      <c r="BE204" s="30">
        <f t="shared" si="34"/>
        <v>25.227416375969064</v>
      </c>
      <c r="BF204" s="30">
        <f t="shared" si="34"/>
        <v>25.227416375969046</v>
      </c>
      <c r="BG204" s="30">
        <f t="shared" si="34"/>
        <v>25.22741637596906</v>
      </c>
      <c r="BH204" s="30">
        <f t="shared" si="34"/>
        <v>25.22741637596906</v>
      </c>
      <c r="BI204" s="30">
        <f t="shared" si="33"/>
        <v>25.22741637596906</v>
      </c>
      <c r="BJ204" s="30">
        <f t="shared" si="33"/>
        <v>25.227416375969028</v>
      </c>
      <c r="BK204" s="30">
        <f t="shared" si="33"/>
        <v>25.227416375969057</v>
      </c>
      <c r="BL204" s="31">
        <f t="shared" si="33"/>
        <v>24.744320179318436</v>
      </c>
    </row>
    <row r="205" spans="2:64" ht="15" x14ac:dyDescent="0.4">
      <c r="B205" t="s">
        <v>325</v>
      </c>
      <c r="C205" s="26">
        <v>53884</v>
      </c>
      <c r="D205" t="s">
        <v>326</v>
      </c>
      <c r="E205" t="s">
        <v>326</v>
      </c>
      <c r="F205" t="s">
        <v>133</v>
      </c>
      <c r="G205" t="s">
        <v>33</v>
      </c>
      <c r="H205" t="s">
        <v>34</v>
      </c>
      <c r="J205" s="27">
        <v>7270.7467071731689</v>
      </c>
      <c r="K205" s="27">
        <v>4871.8639506971804</v>
      </c>
      <c r="L205" s="27">
        <v>5143.0786769844981</v>
      </c>
      <c r="M205" s="27">
        <v>5386.8437597843067</v>
      </c>
      <c r="N205" s="28">
        <f t="shared" si="36"/>
        <v>22672.533094639155</v>
      </c>
      <c r="O205" s="27">
        <v>4.083397907711566E-5</v>
      </c>
      <c r="P205" s="27">
        <v>4.2267951560989286E-5</v>
      </c>
      <c r="Q205" s="27">
        <v>1.1461955422829628E-4</v>
      </c>
      <c r="R205" s="27">
        <v>6.0385623282844552E-5</v>
      </c>
      <c r="S205" s="27">
        <v>8.0897880197493648E-5</v>
      </c>
      <c r="T205" s="27">
        <v>9.32171427682945E-5</v>
      </c>
      <c r="U205" s="27">
        <v>9.7191578614601692E-5</v>
      </c>
      <c r="V205" s="27">
        <v>8.1735439212295957E-5</v>
      </c>
      <c r="W205" s="27">
        <v>4.9952853232350806E-5</v>
      </c>
      <c r="X205" s="27">
        <v>3.3471597168563092E-5</v>
      </c>
      <c r="Y205" s="27">
        <v>3.5334947655427991E-5</v>
      </c>
      <c r="Z205" s="27">
        <v>3.7009708432372319E-5</v>
      </c>
      <c r="AA205" s="28">
        <f t="shared" si="37"/>
        <v>7.6691825543064572E-4</v>
      </c>
      <c r="AB205" s="29"/>
      <c r="AC205" s="27">
        <v>37928.121556424034</v>
      </c>
      <c r="AD205" s="27">
        <v>25414.260126281373</v>
      </c>
      <c r="AE205" s="27">
        <v>26829.061868222005</v>
      </c>
      <c r="AF205" s="27">
        <v>28100.671520435782</v>
      </c>
      <c r="AG205" s="28">
        <f t="shared" si="38"/>
        <v>118272.11507136319</v>
      </c>
      <c r="AH205" s="27">
        <v>2.3074891336717689E-4</v>
      </c>
      <c r="AI205" s="27">
        <v>2.3885215483251103E-4</v>
      </c>
      <c r="AJ205" s="27">
        <v>6.47704147050216E-4</v>
      </c>
      <c r="AK205" s="27">
        <v>3.4123338627376089E-4</v>
      </c>
      <c r="AL205" s="27">
        <v>4.7180767207607397E-4</v>
      </c>
      <c r="AM205" s="27">
        <v>5.4365532223741328E-4</v>
      </c>
      <c r="AN205" s="27">
        <v>5.6683478404635193E-4</v>
      </c>
      <c r="AO205" s="27">
        <v>4.766924325671463E-4</v>
      </c>
      <c r="AP205" s="27">
        <v>2.9133197729751395E-4</v>
      </c>
      <c r="AQ205" s="27">
        <v>1.9521100308456696E-4</v>
      </c>
      <c r="AR205" s="27">
        <v>2.0607832189840144E-4</v>
      </c>
      <c r="AS205" s="27">
        <v>2.1584575933341718E-4</v>
      </c>
      <c r="AT205" s="28">
        <f t="shared" si="39"/>
        <v>4.4259958740645493E-3</v>
      </c>
      <c r="AU205" s="30">
        <f t="shared" si="35"/>
        <v>5.2165373219513933</v>
      </c>
      <c r="AV205" s="30">
        <f t="shared" si="35"/>
        <v>5.2165373219513871</v>
      </c>
      <c r="AW205" s="30">
        <f t="shared" si="35"/>
        <v>5.2165373219513889</v>
      </c>
      <c r="AX205" s="30">
        <f t="shared" si="35"/>
        <v>5.2165373219513897</v>
      </c>
      <c r="AY205" s="31">
        <f t="shared" si="35"/>
        <v>5.2165373219513897</v>
      </c>
      <c r="AZ205" s="30">
        <f t="shared" si="34"/>
        <v>5.6509044325904085</v>
      </c>
      <c r="BA205" s="30">
        <f t="shared" si="34"/>
        <v>5.6509044325904085</v>
      </c>
      <c r="BB205" s="30">
        <f t="shared" si="34"/>
        <v>5.6509044325904068</v>
      </c>
      <c r="BC205" s="30">
        <f t="shared" si="34"/>
        <v>5.6509044325904094</v>
      </c>
      <c r="BD205" s="30">
        <f t="shared" si="34"/>
        <v>5.8321388758798571</v>
      </c>
      <c r="BE205" s="30">
        <f t="shared" si="34"/>
        <v>5.8321388758798571</v>
      </c>
      <c r="BF205" s="30">
        <f t="shared" si="34"/>
        <v>5.832138875879858</v>
      </c>
      <c r="BG205" s="30">
        <f t="shared" si="34"/>
        <v>5.8321388758798589</v>
      </c>
      <c r="BH205" s="30">
        <f t="shared" si="34"/>
        <v>5.832138875879858</v>
      </c>
      <c r="BI205" s="30">
        <f t="shared" si="33"/>
        <v>5.8321388758798571</v>
      </c>
      <c r="BJ205" s="30">
        <f t="shared" si="33"/>
        <v>5.832138875879858</v>
      </c>
      <c r="BK205" s="30">
        <f t="shared" si="33"/>
        <v>5.8321388758798571</v>
      </c>
      <c r="BL205" s="31">
        <f t="shared" si="33"/>
        <v>5.7711442421972743</v>
      </c>
    </row>
    <row r="206" spans="2:64" ht="15" x14ac:dyDescent="0.4">
      <c r="B206" t="s">
        <v>327</v>
      </c>
      <c r="C206" s="26">
        <v>53881</v>
      </c>
      <c r="D206" t="s">
        <v>326</v>
      </c>
      <c r="E206" t="s">
        <v>326</v>
      </c>
      <c r="F206" t="s">
        <v>133</v>
      </c>
      <c r="G206" t="s">
        <v>33</v>
      </c>
      <c r="H206" t="s">
        <v>34</v>
      </c>
      <c r="J206" s="27">
        <v>32869.007924537909</v>
      </c>
      <c r="K206" s="27">
        <v>22024.331372285586</v>
      </c>
      <c r="L206" s="27">
        <v>23250.417130271639</v>
      </c>
      <c r="M206" s="27">
        <v>24352.410743990549</v>
      </c>
      <c r="N206" s="28">
        <f t="shared" si="36"/>
        <v>102496.16717108569</v>
      </c>
      <c r="O206" s="27">
        <v>23235.986753309644</v>
      </c>
      <c r="P206" s="27">
        <v>24051.968109840553</v>
      </c>
      <c r="Q206" s="27">
        <v>65222.6039174205</v>
      </c>
      <c r="R206" s="27">
        <v>34361.567851144486</v>
      </c>
      <c r="S206" s="27">
        <v>46033.771753907924</v>
      </c>
      <c r="T206" s="27">
        <v>53043.870411329561</v>
      </c>
      <c r="U206" s="27">
        <v>55305.465797423843</v>
      </c>
      <c r="V206" s="27">
        <v>46510.372629279598</v>
      </c>
      <c r="W206" s="27">
        <v>28424.950549269648</v>
      </c>
      <c r="X206" s="27">
        <v>19046.529532477431</v>
      </c>
      <c r="Y206" s="27">
        <v>20106.842247723715</v>
      </c>
      <c r="Z206" s="27">
        <v>21059.84070899415</v>
      </c>
      <c r="AA206" s="28">
        <f t="shared" si="37"/>
        <v>436403.77026212099</v>
      </c>
      <c r="AB206" s="29"/>
      <c r="AC206" s="27">
        <v>1579278.544279729</v>
      </c>
      <c r="AD206" s="27">
        <v>1058217.3355585546</v>
      </c>
      <c r="AE206" s="27">
        <v>1117127.8732748097</v>
      </c>
      <c r="AF206" s="27">
        <v>1170076.0752429105</v>
      </c>
      <c r="AG206" s="28">
        <f t="shared" si="38"/>
        <v>4924699.8283560034</v>
      </c>
      <c r="AH206" s="27">
        <v>1155946.125440618</v>
      </c>
      <c r="AI206" s="27">
        <v>1196539.645204924</v>
      </c>
      <c r="AJ206" s="27">
        <v>3244700.4334236602</v>
      </c>
      <c r="AK206" s="27">
        <v>1709422.6142962393</v>
      </c>
      <c r="AL206" s="27">
        <v>2338204.5370696574</v>
      </c>
      <c r="AM206" s="27">
        <v>2744384.8809425626</v>
      </c>
      <c r="AN206" s="27">
        <v>2861395.3505081623</v>
      </c>
      <c r="AO206" s="27">
        <v>2406354.6355308332</v>
      </c>
      <c r="AP206" s="27">
        <v>1470650.6882705495</v>
      </c>
      <c r="AQ206" s="27">
        <v>985429.74481350451</v>
      </c>
      <c r="AR206" s="27">
        <v>1040288.2263350843</v>
      </c>
      <c r="AS206" s="27">
        <v>1089594.4807315124</v>
      </c>
      <c r="AT206" s="28">
        <f t="shared" si="39"/>
        <v>22242911.362567313</v>
      </c>
      <c r="AU206" s="30">
        <f t="shared" si="35"/>
        <v>48.047648651444092</v>
      </c>
      <c r="AV206" s="30">
        <f t="shared" si="35"/>
        <v>48.047648651444064</v>
      </c>
      <c r="AW206" s="30">
        <f t="shared" si="35"/>
        <v>48.047648651444135</v>
      </c>
      <c r="AX206" s="30">
        <f t="shared" si="35"/>
        <v>48.047648651444106</v>
      </c>
      <c r="AY206" s="31">
        <f t="shared" si="35"/>
        <v>48.047648651444092</v>
      </c>
      <c r="AZ206" s="30">
        <f t="shared" si="34"/>
        <v>49.748097109582382</v>
      </c>
      <c r="BA206" s="30">
        <f t="shared" si="34"/>
        <v>49.748097109582282</v>
      </c>
      <c r="BB206" s="30">
        <f t="shared" si="34"/>
        <v>49.748097109582332</v>
      </c>
      <c r="BC206" s="30">
        <f t="shared" si="34"/>
        <v>49.748097109582368</v>
      </c>
      <c r="BD206" s="30">
        <f t="shared" si="34"/>
        <v>50.793242612607798</v>
      </c>
      <c r="BE206" s="30">
        <f t="shared" si="34"/>
        <v>51.738020993965655</v>
      </c>
      <c r="BF206" s="30">
        <f t="shared" si="34"/>
        <v>51.73802099396562</v>
      </c>
      <c r="BG206" s="30">
        <f t="shared" si="34"/>
        <v>51.738020993965648</v>
      </c>
      <c r="BH206" s="30">
        <f t="shared" si="34"/>
        <v>51.738020993965684</v>
      </c>
      <c r="BI206" s="30">
        <f t="shared" si="33"/>
        <v>51.738020993965677</v>
      </c>
      <c r="BJ206" s="30">
        <f t="shared" si="33"/>
        <v>51.738020993965613</v>
      </c>
      <c r="BK206" s="30">
        <f t="shared" si="33"/>
        <v>51.738020993965684</v>
      </c>
      <c r="BL206" s="31">
        <f t="shared" si="33"/>
        <v>50.96865077313003</v>
      </c>
    </row>
    <row r="207" spans="2:64" ht="15" x14ac:dyDescent="0.4">
      <c r="B207" t="s">
        <v>328</v>
      </c>
      <c r="C207" s="26">
        <v>53931</v>
      </c>
      <c r="D207" t="s">
        <v>329</v>
      </c>
      <c r="E207" t="s">
        <v>329</v>
      </c>
      <c r="F207" t="s">
        <v>60</v>
      </c>
      <c r="G207" t="s">
        <v>33</v>
      </c>
      <c r="H207" t="s">
        <v>34</v>
      </c>
      <c r="J207" s="27">
        <v>10140.00579245587</v>
      </c>
      <c r="K207" s="27">
        <v>8802.881298881879</v>
      </c>
      <c r="L207" s="27">
        <v>4437.1228313184047</v>
      </c>
      <c r="M207" s="27">
        <v>11785.911703837737</v>
      </c>
      <c r="N207" s="28">
        <f t="shared" si="36"/>
        <v>35165.921626493888</v>
      </c>
      <c r="O207" s="27">
        <v>7734.8264796862404</v>
      </c>
      <c r="P207" s="27">
        <v>8134.9037113941495</v>
      </c>
      <c r="Q207" s="27">
        <v>10474.395539092086</v>
      </c>
      <c r="R207" s="27">
        <v>8251.9172207977062</v>
      </c>
      <c r="S207" s="27">
        <v>9434.5060808007202</v>
      </c>
      <c r="T207" s="27">
        <v>7217.9951920324465</v>
      </c>
      <c r="U207" s="27">
        <v>5599.265069707134</v>
      </c>
      <c r="V207" s="27">
        <v>10137.62495105262</v>
      </c>
      <c r="W207" s="27">
        <v>7557.3603146484929</v>
      </c>
      <c r="X207" s="27">
        <v>6560.7995837859226</v>
      </c>
      <c r="Y207" s="27">
        <v>3306.9937713028612</v>
      </c>
      <c r="Z207" s="27">
        <v>8784.0562624532849</v>
      </c>
      <c r="AA207" s="28">
        <f t="shared" si="37"/>
        <v>93194.644176753674</v>
      </c>
      <c r="AB207" s="29"/>
      <c r="AC207" s="27">
        <v>150920.47447036041</v>
      </c>
      <c r="AD207" s="27">
        <v>131019.15812730044</v>
      </c>
      <c r="AE207" s="27">
        <v>66040.660793711097</v>
      </c>
      <c r="AF207" s="27">
        <v>175417.590760386</v>
      </c>
      <c r="AG207" s="28">
        <f t="shared" si="38"/>
        <v>523397.88415175793</v>
      </c>
      <c r="AH207" s="27">
        <v>109123.68897229597</v>
      </c>
      <c r="AI207" s="27">
        <v>114768.0177122423</v>
      </c>
      <c r="AJ207" s="27">
        <v>147773.79738026837</v>
      </c>
      <c r="AK207" s="27">
        <v>116418.85575485957</v>
      </c>
      <c r="AL207" s="27">
        <v>136307.110025261</v>
      </c>
      <c r="AM207" s="27">
        <v>105905.4698878855</v>
      </c>
      <c r="AN207" s="27">
        <v>82154.778779671411</v>
      </c>
      <c r="AO207" s="27">
        <v>148743.50916352807</v>
      </c>
      <c r="AP207" s="27">
        <v>110884.77810547553</v>
      </c>
      <c r="AQ207" s="27">
        <v>96262.818729509847</v>
      </c>
      <c r="AR207" s="27">
        <v>48521.607447555281</v>
      </c>
      <c r="AS207" s="27">
        <v>128883.37845162672</v>
      </c>
      <c r="AT207" s="28">
        <f t="shared" si="39"/>
        <v>1345747.8104101797</v>
      </c>
      <c r="AU207" s="30">
        <f t="shared" si="35"/>
        <v>14.883667481003288</v>
      </c>
      <c r="AV207" s="30">
        <f t="shared" si="35"/>
        <v>14.883667481003314</v>
      </c>
      <c r="AW207" s="30">
        <f t="shared" si="35"/>
        <v>14.883667481003314</v>
      </c>
      <c r="AX207" s="30">
        <f t="shared" si="35"/>
        <v>14.883667481003306</v>
      </c>
      <c r="AY207" s="31">
        <f t="shared" si="35"/>
        <v>14.883667481003306</v>
      </c>
      <c r="AZ207" s="30">
        <f t="shared" si="34"/>
        <v>14.108097868631505</v>
      </c>
      <c r="BA207" s="30">
        <f t="shared" si="34"/>
        <v>14.108097868631504</v>
      </c>
      <c r="BB207" s="30">
        <f t="shared" si="34"/>
        <v>14.108097868631502</v>
      </c>
      <c r="BC207" s="30">
        <f t="shared" si="34"/>
        <v>14.108097868631486</v>
      </c>
      <c r="BD207" s="30">
        <f t="shared" si="34"/>
        <v>14.44772083009696</v>
      </c>
      <c r="BE207" s="30">
        <f t="shared" si="34"/>
        <v>14.672421783376748</v>
      </c>
      <c r="BF207" s="30">
        <f t="shared" si="34"/>
        <v>14.672421783376736</v>
      </c>
      <c r="BG207" s="30">
        <f t="shared" si="34"/>
        <v>14.672421783376747</v>
      </c>
      <c r="BH207" s="30">
        <f t="shared" si="34"/>
        <v>14.672421783376752</v>
      </c>
      <c r="BI207" s="30">
        <f t="shared" si="33"/>
        <v>14.672421783376775</v>
      </c>
      <c r="BJ207" s="30">
        <f t="shared" si="33"/>
        <v>14.672421783376736</v>
      </c>
      <c r="BK207" s="30">
        <f t="shared" si="33"/>
        <v>14.672421783376771</v>
      </c>
      <c r="BL207" s="31">
        <f t="shared" si="33"/>
        <v>14.440184007332268</v>
      </c>
    </row>
    <row r="208" spans="2:64" ht="15" x14ac:dyDescent="0.4">
      <c r="B208" t="s">
        <v>330</v>
      </c>
      <c r="C208" s="26">
        <v>53933</v>
      </c>
      <c r="D208" t="s">
        <v>329</v>
      </c>
      <c r="E208" t="s">
        <v>329</v>
      </c>
      <c r="F208" t="s">
        <v>60</v>
      </c>
      <c r="G208" t="s">
        <v>33</v>
      </c>
      <c r="H208" t="s">
        <v>34</v>
      </c>
      <c r="J208" s="27">
        <v>3493.4130995970386</v>
      </c>
      <c r="K208" s="27">
        <v>3032.7498300436114</v>
      </c>
      <c r="L208" s="27">
        <v>1528.668063975002</v>
      </c>
      <c r="M208" s="27">
        <v>4060.457082530806</v>
      </c>
      <c r="N208" s="28">
        <f t="shared" si="36"/>
        <v>12115.288076146458</v>
      </c>
      <c r="O208" s="27">
        <v>2643.0251641833565</v>
      </c>
      <c r="P208" s="27">
        <v>2779.7333623307718</v>
      </c>
      <c r="Q208" s="27">
        <v>3579.1482927427296</v>
      </c>
      <c r="R208" s="27">
        <v>2819.7174073142251</v>
      </c>
      <c r="S208" s="27">
        <v>3223.813365262291</v>
      </c>
      <c r="T208" s="27">
        <v>2466.4215774715212</v>
      </c>
      <c r="U208" s="27">
        <v>1913.2941791305857</v>
      </c>
      <c r="V208" s="27">
        <v>3464.0722608391352</v>
      </c>
      <c r="W208" s="27">
        <v>2582.3841735654373</v>
      </c>
      <c r="X208" s="27">
        <v>2241.8548680633485</v>
      </c>
      <c r="Y208" s="27">
        <v>1130.0147169824588</v>
      </c>
      <c r="Z208" s="27">
        <v>3001.5517227489509</v>
      </c>
      <c r="AA208" s="28">
        <f t="shared" si="37"/>
        <v>31845.031090634817</v>
      </c>
      <c r="AB208" s="29"/>
      <c r="AC208" s="27">
        <v>58341.311389262715</v>
      </c>
      <c r="AD208" s="27">
        <v>50648.061696659082</v>
      </c>
      <c r="AE208" s="27">
        <v>25529.331054914252</v>
      </c>
      <c r="AF208" s="27">
        <v>67811.158967140815</v>
      </c>
      <c r="AG208" s="28">
        <f t="shared" si="38"/>
        <v>202329.86310797685</v>
      </c>
      <c r="AH208" s="27">
        <v>43989.884439105292</v>
      </c>
      <c r="AI208" s="27">
        <v>46265.223289403832</v>
      </c>
      <c r="AJ208" s="27">
        <v>59570.495930870769</v>
      </c>
      <c r="AK208" s="27">
        <v>46930.708257941216</v>
      </c>
      <c r="AL208" s="27">
        <v>55064.442049198835</v>
      </c>
      <c r="AM208" s="27">
        <v>42692.557644564113</v>
      </c>
      <c r="AN208" s="27">
        <v>33118.19146395896</v>
      </c>
      <c r="AO208" s="27">
        <v>59961.40563788834</v>
      </c>
      <c r="AP208" s="27">
        <v>44699.813769621265</v>
      </c>
      <c r="AQ208" s="27">
        <v>38805.417151620873</v>
      </c>
      <c r="AR208" s="27">
        <v>19560.005022919264</v>
      </c>
      <c r="AS208" s="27">
        <v>51955.400129919573</v>
      </c>
      <c r="AT208" s="28">
        <f t="shared" si="39"/>
        <v>542613.54478701227</v>
      </c>
      <c r="AU208" s="30">
        <f t="shared" si="35"/>
        <v>16.700375743135652</v>
      </c>
      <c r="AV208" s="30">
        <f t="shared" si="35"/>
        <v>16.700375743135648</v>
      </c>
      <c r="AW208" s="30">
        <f t="shared" si="35"/>
        <v>16.700375743135645</v>
      </c>
      <c r="AX208" s="30">
        <f t="shared" si="35"/>
        <v>16.700375743135648</v>
      </c>
      <c r="AY208" s="31">
        <f t="shared" si="35"/>
        <v>16.700375743135648</v>
      </c>
      <c r="AZ208" s="30">
        <f t="shared" si="34"/>
        <v>16.643763001286942</v>
      </c>
      <c r="BA208" s="30">
        <f t="shared" si="34"/>
        <v>16.643763001286935</v>
      </c>
      <c r="BB208" s="30">
        <f t="shared" si="34"/>
        <v>16.643763001286942</v>
      </c>
      <c r="BC208" s="30">
        <f t="shared" si="34"/>
        <v>16.643763001286935</v>
      </c>
      <c r="BD208" s="30">
        <f t="shared" si="34"/>
        <v>17.080530356545243</v>
      </c>
      <c r="BE208" s="30">
        <f t="shared" si="34"/>
        <v>17.309513521338413</v>
      </c>
      <c r="BF208" s="30">
        <f t="shared" si="34"/>
        <v>17.309513521338417</v>
      </c>
      <c r="BG208" s="30">
        <f t="shared" si="34"/>
        <v>17.309513521338413</v>
      </c>
      <c r="BH208" s="30">
        <f t="shared" si="34"/>
        <v>17.309513521338413</v>
      </c>
      <c r="BI208" s="30">
        <f t="shared" si="33"/>
        <v>17.309513521338413</v>
      </c>
      <c r="BJ208" s="30">
        <f t="shared" si="33"/>
        <v>17.309513521338406</v>
      </c>
      <c r="BK208" s="30">
        <f t="shared" si="33"/>
        <v>17.309513521338413</v>
      </c>
      <c r="BL208" s="31">
        <f t="shared" si="33"/>
        <v>17.039190297621893</v>
      </c>
    </row>
    <row r="209" spans="2:64" ht="15" x14ac:dyDescent="0.4">
      <c r="B209" t="s">
        <v>331</v>
      </c>
      <c r="C209" s="26">
        <v>53754</v>
      </c>
      <c r="D209" t="s">
        <v>329</v>
      </c>
      <c r="E209" t="s">
        <v>329</v>
      </c>
      <c r="F209" t="s">
        <v>60</v>
      </c>
      <c r="G209" t="s">
        <v>33</v>
      </c>
      <c r="H209" t="s">
        <v>34</v>
      </c>
      <c r="J209" s="27">
        <v>2119.6937804177351</v>
      </c>
      <c r="K209" s="27">
        <v>1840.1777199060446</v>
      </c>
      <c r="L209" s="27">
        <v>927.54795815725276</v>
      </c>
      <c r="M209" s="27">
        <v>2463.7583297796914</v>
      </c>
      <c r="N209" s="28">
        <f t="shared" si="36"/>
        <v>7351.1777882607239</v>
      </c>
      <c r="O209" s="27">
        <v>1180.1864652824186</v>
      </c>
      <c r="P209" s="27">
        <v>1241.230592797026</v>
      </c>
      <c r="Q209" s="27">
        <v>1598.1922645215523</v>
      </c>
      <c r="R209" s="27">
        <v>1259.0846145279531</v>
      </c>
      <c r="S209" s="27">
        <v>1439.5250381411699</v>
      </c>
      <c r="T209" s="27">
        <v>1101.3279036682168</v>
      </c>
      <c r="U209" s="27">
        <v>854.34067178518308</v>
      </c>
      <c r="V209" s="27">
        <v>1546.8075190520574</v>
      </c>
      <c r="W209" s="27">
        <v>1153.1085254510363</v>
      </c>
      <c r="X209" s="27">
        <v>1001.0524335031702</v>
      </c>
      <c r="Y209" s="27">
        <v>504.58394896315917</v>
      </c>
      <c r="Z209" s="27">
        <v>1340.2788463907673</v>
      </c>
      <c r="AA209" s="28">
        <f t="shared" si="37"/>
        <v>14219.718824083711</v>
      </c>
      <c r="AB209" s="29"/>
      <c r="AC209" s="27">
        <v>35807.899629400039</v>
      </c>
      <c r="AD209" s="27">
        <v>31086.046344707443</v>
      </c>
      <c r="AE209" s="27">
        <v>15669.029410750227</v>
      </c>
      <c r="AF209" s="27">
        <v>41620.167874655577</v>
      </c>
      <c r="AG209" s="28">
        <f t="shared" si="38"/>
        <v>124183.14325951328</v>
      </c>
      <c r="AH209" s="27">
        <v>19395.33056303308</v>
      </c>
      <c r="AI209" s="27">
        <v>20398.537316293405</v>
      </c>
      <c r="AJ209" s="27">
        <v>26264.889647128952</v>
      </c>
      <c r="AK209" s="27">
        <v>20691.952521040756</v>
      </c>
      <c r="AL209" s="27">
        <v>24568.837100802863</v>
      </c>
      <c r="AM209" s="27">
        <v>18823.333560785035</v>
      </c>
      <c r="AN209" s="27">
        <v>14601.954046560099</v>
      </c>
      <c r="AO209" s="27">
        <v>26437.24342992645</v>
      </c>
      <c r="AP209" s="27">
        <v>19708.341479458893</v>
      </c>
      <c r="AQ209" s="27">
        <v>17109.476482802707</v>
      </c>
      <c r="AR209" s="27">
        <v>8624.090926159819</v>
      </c>
      <c r="AS209" s="27">
        <v>22907.360928610298</v>
      </c>
      <c r="AT209" s="28">
        <f t="shared" si="39"/>
        <v>239531.34800260235</v>
      </c>
      <c r="AU209" s="30">
        <f t="shared" si="35"/>
        <v>16.892958766121048</v>
      </c>
      <c r="AV209" s="30">
        <f t="shared" si="35"/>
        <v>16.892958766121041</v>
      </c>
      <c r="AW209" s="30">
        <f t="shared" si="35"/>
        <v>16.89295876612103</v>
      </c>
      <c r="AX209" s="30">
        <f t="shared" si="35"/>
        <v>16.892958766121044</v>
      </c>
      <c r="AY209" s="31">
        <f t="shared" si="35"/>
        <v>16.892958766121041</v>
      </c>
      <c r="AZ209" s="30">
        <f t="shared" si="34"/>
        <v>16.434123872443987</v>
      </c>
      <c r="BA209" s="30">
        <f t="shared" si="34"/>
        <v>16.434123872443987</v>
      </c>
      <c r="BB209" s="30">
        <f t="shared" si="34"/>
        <v>16.434123872443983</v>
      </c>
      <c r="BC209" s="30">
        <f t="shared" si="34"/>
        <v>16.434123872443976</v>
      </c>
      <c r="BD209" s="30">
        <f t="shared" si="34"/>
        <v>17.067321824793069</v>
      </c>
      <c r="BE209" s="30">
        <f t="shared" si="34"/>
        <v>17.091488827341745</v>
      </c>
      <c r="BF209" s="30">
        <f t="shared" si="34"/>
        <v>17.091488827341745</v>
      </c>
      <c r="BG209" s="30">
        <f t="shared" si="34"/>
        <v>17.091488827341749</v>
      </c>
      <c r="BH209" s="30">
        <f t="shared" si="34"/>
        <v>17.091488827341738</v>
      </c>
      <c r="BI209" s="30">
        <f t="shared" si="33"/>
        <v>17.091488827341756</v>
      </c>
      <c r="BJ209" s="30">
        <f t="shared" si="33"/>
        <v>17.09148882734176</v>
      </c>
      <c r="BK209" s="30">
        <f t="shared" si="33"/>
        <v>17.091488827341756</v>
      </c>
      <c r="BL209" s="31">
        <f t="shared" si="33"/>
        <v>16.845012968675015</v>
      </c>
    </row>
    <row r="210" spans="2:64" ht="15" x14ac:dyDescent="0.4">
      <c r="B210" t="s">
        <v>332</v>
      </c>
      <c r="C210" s="26">
        <v>53750</v>
      </c>
      <c r="D210" t="s">
        <v>329</v>
      </c>
      <c r="E210" t="s">
        <v>329</v>
      </c>
      <c r="F210" t="s">
        <v>60</v>
      </c>
      <c r="G210" t="s">
        <v>33</v>
      </c>
      <c r="H210" t="s">
        <v>34</v>
      </c>
      <c r="J210" s="27">
        <v>863.05349372223134</v>
      </c>
      <c r="K210" s="27">
        <v>749.24586980754145</v>
      </c>
      <c r="L210" s="27">
        <v>377.65997771846884</v>
      </c>
      <c r="M210" s="27">
        <v>1003.1426491163096</v>
      </c>
      <c r="N210" s="28">
        <f t="shared" si="36"/>
        <v>2993.1019903645511</v>
      </c>
      <c r="O210" s="27">
        <v>679.38507222574026</v>
      </c>
      <c r="P210" s="27">
        <v>714.5256794098301</v>
      </c>
      <c r="Q210" s="27">
        <v>920.01391221069889</v>
      </c>
      <c r="R210" s="27">
        <v>724.80350939687605</v>
      </c>
      <c r="S210" s="27">
        <v>828.67568030808377</v>
      </c>
      <c r="T210" s="27">
        <v>633.98942403461979</v>
      </c>
      <c r="U210" s="27">
        <v>491.80897771715081</v>
      </c>
      <c r="V210" s="27">
        <v>890.43381615042063</v>
      </c>
      <c r="W210" s="27">
        <v>663.79740989505444</v>
      </c>
      <c r="X210" s="27">
        <v>576.26493765504802</v>
      </c>
      <c r="Y210" s="27">
        <v>290.4683392791253</v>
      </c>
      <c r="Z210" s="27">
        <v>771.54370740891773</v>
      </c>
      <c r="AA210" s="28">
        <f t="shared" si="37"/>
        <v>8185.7104656915662</v>
      </c>
      <c r="AB210" s="29"/>
      <c r="AC210" s="27">
        <v>12680.610189030889</v>
      </c>
      <c r="AD210" s="27">
        <v>11008.465732285915</v>
      </c>
      <c r="AE210" s="27">
        <v>5548.8553099899664</v>
      </c>
      <c r="AF210" s="27">
        <v>14738.902037895828</v>
      </c>
      <c r="AG210" s="28">
        <f t="shared" si="38"/>
        <v>43976.833269202602</v>
      </c>
      <c r="AH210" s="27">
        <v>9567.4605277245355</v>
      </c>
      <c r="AI210" s="27">
        <v>10062.329175710287</v>
      </c>
      <c r="AJ210" s="27">
        <v>12956.123338412954</v>
      </c>
      <c r="AK210" s="27">
        <v>10207.067022818957</v>
      </c>
      <c r="AL210" s="27">
        <v>12135.194456167606</v>
      </c>
      <c r="AM210" s="27">
        <v>9285.3019574851878</v>
      </c>
      <c r="AN210" s="27">
        <v>7202.9511698234319</v>
      </c>
      <c r="AO210" s="27">
        <v>13041.143184213468</v>
      </c>
      <c r="AP210" s="27">
        <v>9721.8646807199329</v>
      </c>
      <c r="AQ210" s="27">
        <v>8439.878885655211</v>
      </c>
      <c r="AR210" s="27">
        <v>4254.1502066896555</v>
      </c>
      <c r="AS210" s="27">
        <v>11299.89874452259</v>
      </c>
      <c r="AT210" s="28">
        <f t="shared" si="39"/>
        <v>118173.3633499438</v>
      </c>
      <c r="AU210" s="30">
        <f t="shared" si="35"/>
        <v>14.692727949389507</v>
      </c>
      <c r="AV210" s="30">
        <f t="shared" si="35"/>
        <v>14.692727949389505</v>
      </c>
      <c r="AW210" s="30">
        <f t="shared" si="35"/>
        <v>14.692727949389509</v>
      </c>
      <c r="AX210" s="30">
        <f t="shared" si="35"/>
        <v>14.692727949389502</v>
      </c>
      <c r="AY210" s="31">
        <f t="shared" si="35"/>
        <v>14.692727949389507</v>
      </c>
      <c r="AZ210" s="30">
        <f t="shared" si="34"/>
        <v>14.082529803577346</v>
      </c>
      <c r="BA210" s="30">
        <f t="shared" si="34"/>
        <v>14.08252980357735</v>
      </c>
      <c r="BB210" s="30">
        <f t="shared" si="34"/>
        <v>14.082529803577341</v>
      </c>
      <c r="BC210" s="30">
        <f t="shared" si="34"/>
        <v>14.082529803577343</v>
      </c>
      <c r="BD210" s="30">
        <f t="shared" si="34"/>
        <v>14.644081809732853</v>
      </c>
      <c r="BE210" s="30">
        <f t="shared" si="34"/>
        <v>14.645830995720447</v>
      </c>
      <c r="BF210" s="30">
        <f t="shared" si="34"/>
        <v>14.645830995720443</v>
      </c>
      <c r="BG210" s="30">
        <f t="shared" si="34"/>
        <v>14.645830995720441</v>
      </c>
      <c r="BH210" s="30">
        <f t="shared" si="34"/>
        <v>14.645830995720438</v>
      </c>
      <c r="BI210" s="30">
        <f t="shared" si="33"/>
        <v>14.645830995720443</v>
      </c>
      <c r="BJ210" s="30">
        <f t="shared" si="33"/>
        <v>14.645830995720445</v>
      </c>
      <c r="BK210" s="30">
        <f t="shared" si="33"/>
        <v>14.645830995720441</v>
      </c>
      <c r="BL210" s="31">
        <f t="shared" si="33"/>
        <v>14.436543271990743</v>
      </c>
    </row>
    <row r="211" spans="2:64" ht="15" x14ac:dyDescent="0.4">
      <c r="B211" t="s">
        <v>333</v>
      </c>
      <c r="C211" s="26">
        <v>61060</v>
      </c>
      <c r="D211" t="s">
        <v>334</v>
      </c>
      <c r="E211" t="s">
        <v>335</v>
      </c>
      <c r="F211" t="s">
        <v>60</v>
      </c>
      <c r="G211" t="s">
        <v>33</v>
      </c>
      <c r="H211" t="s">
        <v>34</v>
      </c>
      <c r="J211" s="27">
        <v>3228.4730988732576</v>
      </c>
      <c r="K211" s="27">
        <v>3875.2874245587818</v>
      </c>
      <c r="L211" s="27">
        <v>3352.4142301261363</v>
      </c>
      <c r="M211" s="27">
        <v>2653.8135060627365</v>
      </c>
      <c r="N211" s="28">
        <f t="shared" si="36"/>
        <v>13109.988259620914</v>
      </c>
      <c r="O211" s="27">
        <v>3357.1005267187134</v>
      </c>
      <c r="P211" s="27">
        <v>2284.0627678518267</v>
      </c>
      <c r="Q211" s="27">
        <v>3896.760386142997</v>
      </c>
      <c r="R211" s="27">
        <v>2073.6145385908339</v>
      </c>
      <c r="S211" s="27">
        <v>3694.2147194166996</v>
      </c>
      <c r="T211" s="27">
        <v>5096.7594463602936</v>
      </c>
      <c r="U211" s="27">
        <v>5147.4986580318127</v>
      </c>
      <c r="V211" s="27">
        <v>3426.7500628866592</v>
      </c>
      <c r="W211" s="27">
        <v>3465.4958667890141</v>
      </c>
      <c r="X211" s="27">
        <v>4159.7969507984817</v>
      </c>
      <c r="Y211" s="27">
        <v>3598.5363056986362</v>
      </c>
      <c r="Z211" s="27">
        <v>2848.6468540496653</v>
      </c>
      <c r="AA211" s="28">
        <f t="shared" si="37"/>
        <v>43049.237083335633</v>
      </c>
      <c r="AB211" s="29"/>
      <c r="AC211" s="27">
        <v>107855.1693605062</v>
      </c>
      <c r="AD211" s="27">
        <v>129463.60979197864</v>
      </c>
      <c r="AE211" s="27">
        <v>111995.73094879306</v>
      </c>
      <c r="AF211" s="27">
        <v>88657.23714640495</v>
      </c>
      <c r="AG211" s="28">
        <f t="shared" si="38"/>
        <v>437971.74724768288</v>
      </c>
      <c r="AH211" s="27">
        <v>108814.81066267857</v>
      </c>
      <c r="AI211" s="27">
        <v>74034.082580302464</v>
      </c>
      <c r="AJ211" s="27">
        <v>126306.98432805824</v>
      </c>
      <c r="AK211" s="27">
        <v>67212.754461268254</v>
      </c>
      <c r="AL211" s="27">
        <v>124531.47676779766</v>
      </c>
      <c r="AM211" s="27">
        <v>171811.06914264252</v>
      </c>
      <c r="AN211" s="27">
        <v>173521.48108114669</v>
      </c>
      <c r="AO211" s="27">
        <v>115515.27949972525</v>
      </c>
      <c r="AP211" s="27">
        <v>116821.39529022208</v>
      </c>
      <c r="AQ211" s="27">
        <v>140226.19059319617</v>
      </c>
      <c r="AR211" s="27">
        <v>121306.17042799942</v>
      </c>
      <c r="AS211" s="27">
        <v>96027.498797026798</v>
      </c>
      <c r="AT211" s="28">
        <f t="shared" si="39"/>
        <v>1436129.1936320639</v>
      </c>
      <c r="AU211" s="30">
        <f t="shared" si="35"/>
        <v>33.407485847767425</v>
      </c>
      <c r="AV211" s="30">
        <f t="shared" si="35"/>
        <v>33.40748584776744</v>
      </c>
      <c r="AW211" s="30">
        <f t="shared" si="35"/>
        <v>33.407485847767433</v>
      </c>
      <c r="AX211" s="30">
        <f t="shared" si="35"/>
        <v>33.40748584776744</v>
      </c>
      <c r="AY211" s="31">
        <f t="shared" si="35"/>
        <v>33.407485847767433</v>
      </c>
      <c r="AZ211" s="30">
        <f t="shared" si="34"/>
        <v>32.413331026770294</v>
      </c>
      <c r="BA211" s="30">
        <f t="shared" si="34"/>
        <v>32.413331026770301</v>
      </c>
      <c r="BB211" s="30">
        <f t="shared" si="34"/>
        <v>32.413331026770308</v>
      </c>
      <c r="BC211" s="30">
        <f t="shared" si="34"/>
        <v>32.413331026770301</v>
      </c>
      <c r="BD211" s="30">
        <f t="shared" si="34"/>
        <v>33.709864267841105</v>
      </c>
      <c r="BE211" s="30">
        <f t="shared" si="34"/>
        <v>33.709864267841112</v>
      </c>
      <c r="BF211" s="30">
        <f t="shared" si="34"/>
        <v>33.709864267841112</v>
      </c>
      <c r="BG211" s="30">
        <f t="shared" si="34"/>
        <v>33.709864267841105</v>
      </c>
      <c r="BH211" s="30">
        <f t="shared" si="34"/>
        <v>33.70986426784112</v>
      </c>
      <c r="BI211" s="30">
        <f t="shared" si="33"/>
        <v>33.709864267841112</v>
      </c>
      <c r="BJ211" s="30">
        <f t="shared" si="33"/>
        <v>33.709864267841112</v>
      </c>
      <c r="BK211" s="30">
        <f t="shared" si="33"/>
        <v>33.709864267841105</v>
      </c>
      <c r="BL211" s="31">
        <f t="shared" si="33"/>
        <v>33.360154347264604</v>
      </c>
    </row>
    <row r="212" spans="2:64" ht="15" x14ac:dyDescent="0.4">
      <c r="B212" t="s">
        <v>336</v>
      </c>
      <c r="C212" s="26">
        <v>60955</v>
      </c>
      <c r="D212" t="s">
        <v>334</v>
      </c>
      <c r="E212" t="s">
        <v>337</v>
      </c>
      <c r="F212" t="s">
        <v>60</v>
      </c>
      <c r="G212" t="s">
        <v>33</v>
      </c>
      <c r="H212" t="s">
        <v>34</v>
      </c>
      <c r="J212" s="27">
        <v>673.44757070431433</v>
      </c>
      <c r="K212" s="27">
        <v>808.37065136485603</v>
      </c>
      <c r="L212" s="27">
        <v>699.30123316218817</v>
      </c>
      <c r="M212" s="27">
        <v>553.57570096649908</v>
      </c>
      <c r="N212" s="28">
        <f t="shared" si="36"/>
        <v>2734.6951561978576</v>
      </c>
      <c r="O212" s="27">
        <v>963.34058601176446</v>
      </c>
      <c r="P212" s="27">
        <v>655.4258199174842</v>
      </c>
      <c r="Q212" s="27">
        <v>1118.199292531629</v>
      </c>
      <c r="R212" s="27">
        <v>595.03640980363889</v>
      </c>
      <c r="S212" s="27">
        <v>1060.0775712053482</v>
      </c>
      <c r="T212" s="27">
        <v>1462.5463827312783</v>
      </c>
      <c r="U212" s="27">
        <v>1477.1063107156785</v>
      </c>
      <c r="V212" s="27">
        <v>983.32694759178446</v>
      </c>
      <c r="W212" s="27">
        <v>994.44529365849439</v>
      </c>
      <c r="X212" s="27">
        <v>1193.6792480232828</v>
      </c>
      <c r="Y212" s="27">
        <v>1032.622063571228</v>
      </c>
      <c r="Z212" s="27">
        <v>817.43668617603714</v>
      </c>
      <c r="AA212" s="28">
        <f t="shared" si="37"/>
        <v>12353.242611937649</v>
      </c>
      <c r="AB212" s="29"/>
      <c r="AC212" s="27">
        <v>23460.034180479313</v>
      </c>
      <c r="AD212" s="27">
        <v>28160.177475556462</v>
      </c>
      <c r="AE212" s="27">
        <v>24360.665248637983</v>
      </c>
      <c r="AF212" s="27">
        <v>19284.210725676414</v>
      </c>
      <c r="AG212" s="28">
        <f t="shared" si="38"/>
        <v>95265.087630350172</v>
      </c>
      <c r="AH212" s="27">
        <v>33345.610670743008</v>
      </c>
      <c r="AI212" s="27">
        <v>22687.276475086721</v>
      </c>
      <c r="AJ212" s="27">
        <v>38705.976684142966</v>
      </c>
      <c r="AK212" s="27">
        <v>20596.923605569471</v>
      </c>
      <c r="AL212" s="27">
        <v>38161.883619174594</v>
      </c>
      <c r="AM212" s="27">
        <v>52650.415744551356</v>
      </c>
      <c r="AN212" s="27">
        <v>53174.560667844511</v>
      </c>
      <c r="AO212" s="27">
        <v>35398.926977511503</v>
      </c>
      <c r="AP212" s="27">
        <v>35799.177902689604</v>
      </c>
      <c r="AQ212" s="27">
        <v>42971.429430294273</v>
      </c>
      <c r="AR212" s="27">
        <v>37173.508885571544</v>
      </c>
      <c r="AS212" s="27">
        <v>29427.019806129734</v>
      </c>
      <c r="AT212" s="28">
        <f t="shared" si="39"/>
        <v>440092.7104693093</v>
      </c>
      <c r="AU212" s="30">
        <f t="shared" si="35"/>
        <v>34.835724711196171</v>
      </c>
      <c r="AV212" s="30">
        <f t="shared" si="35"/>
        <v>34.835724711196171</v>
      </c>
      <c r="AW212" s="30">
        <f t="shared" si="35"/>
        <v>34.835724711196157</v>
      </c>
      <c r="AX212" s="30">
        <f t="shared" si="35"/>
        <v>34.835724711196171</v>
      </c>
      <c r="AY212" s="31">
        <f t="shared" si="35"/>
        <v>34.835724711196164</v>
      </c>
      <c r="AZ212" s="30">
        <f t="shared" si="34"/>
        <v>34.614560161732648</v>
      </c>
      <c r="BA212" s="30">
        <f t="shared" si="34"/>
        <v>34.614560161732669</v>
      </c>
      <c r="BB212" s="30">
        <f t="shared" si="34"/>
        <v>34.614560161732655</v>
      </c>
      <c r="BC212" s="30">
        <f t="shared" si="34"/>
        <v>34.614560161732662</v>
      </c>
      <c r="BD212" s="30">
        <f t="shared" si="34"/>
        <v>35.999142568201961</v>
      </c>
      <c r="BE212" s="30">
        <f t="shared" si="34"/>
        <v>35.999142568201961</v>
      </c>
      <c r="BF212" s="30">
        <f t="shared" si="34"/>
        <v>35.999142568201947</v>
      </c>
      <c r="BG212" s="30">
        <f t="shared" si="34"/>
        <v>35.999142568201954</v>
      </c>
      <c r="BH212" s="30">
        <f t="shared" si="34"/>
        <v>35.999142568201961</v>
      </c>
      <c r="BI212" s="30">
        <f t="shared" si="33"/>
        <v>35.999142568201968</v>
      </c>
      <c r="BJ212" s="30">
        <f t="shared" si="33"/>
        <v>35.999142568201961</v>
      </c>
      <c r="BK212" s="30">
        <f t="shared" si="33"/>
        <v>35.999142568201968</v>
      </c>
      <c r="BL212" s="31">
        <f t="shared" si="33"/>
        <v>35.625683417244829</v>
      </c>
    </row>
    <row r="213" spans="2:64" ht="15" x14ac:dyDescent="0.4">
      <c r="B213" t="s">
        <v>338</v>
      </c>
      <c r="C213" s="26" t="s">
        <v>339</v>
      </c>
      <c r="D213" t="s">
        <v>340</v>
      </c>
      <c r="E213" s="1" t="s">
        <v>340</v>
      </c>
      <c r="F213" t="s">
        <v>60</v>
      </c>
      <c r="G213" t="s">
        <v>21</v>
      </c>
      <c r="H213" t="s">
        <v>126</v>
      </c>
      <c r="J213" s="27">
        <v>0</v>
      </c>
      <c r="K213" s="27">
        <v>0</v>
      </c>
      <c r="L213" s="27">
        <v>0</v>
      </c>
      <c r="M213" s="27">
        <v>0</v>
      </c>
      <c r="N213" s="28">
        <f t="shared" si="36"/>
        <v>0</v>
      </c>
      <c r="O213" s="27">
        <v>0</v>
      </c>
      <c r="P213" s="27">
        <v>0</v>
      </c>
      <c r="Q213" s="27">
        <v>0</v>
      </c>
      <c r="R213" s="27">
        <v>17093.605812538335</v>
      </c>
      <c r="S213" s="27">
        <v>14991.550620195232</v>
      </c>
      <c r="T213" s="27">
        <v>9225.0090122054917</v>
      </c>
      <c r="U213" s="27">
        <v>6816.5771702471438</v>
      </c>
      <c r="V213" s="27">
        <v>6945.4311365042295</v>
      </c>
      <c r="W213" s="27">
        <v>6627.1454784969601</v>
      </c>
      <c r="X213" s="27">
        <v>6462.4559431039052</v>
      </c>
      <c r="Y213" s="27">
        <v>6342.2713195612041</v>
      </c>
      <c r="Z213" s="27">
        <v>6217.5317170505095</v>
      </c>
      <c r="AA213" s="28">
        <f t="shared" si="37"/>
        <v>80721.578209903018</v>
      </c>
      <c r="AB213" s="29"/>
      <c r="AC213" s="27">
        <v>0</v>
      </c>
      <c r="AD213" s="27">
        <v>0</v>
      </c>
      <c r="AE213" s="27">
        <v>0</v>
      </c>
      <c r="AF213" s="27">
        <v>0</v>
      </c>
      <c r="AG213" s="28">
        <f t="shared" si="38"/>
        <v>0</v>
      </c>
      <c r="AH213" s="27">
        <v>0</v>
      </c>
      <c r="AI213" s="27">
        <v>0</v>
      </c>
      <c r="AJ213" s="27">
        <v>0</v>
      </c>
      <c r="AK213" s="27">
        <v>32181.82817929237</v>
      </c>
      <c r="AL213" s="27">
        <v>32710.175050317324</v>
      </c>
      <c r="AM213" s="27">
        <v>23314.543757399315</v>
      </c>
      <c r="AN213" s="27">
        <v>15701.900998908357</v>
      </c>
      <c r="AO213" s="27">
        <v>16022.794031537251</v>
      </c>
      <c r="AP213" s="27">
        <v>15309.298255967733</v>
      </c>
      <c r="AQ213" s="27">
        <v>14933.682189583327</v>
      </c>
      <c r="AR213" s="27">
        <v>14652.067594764201</v>
      </c>
      <c r="AS213" s="27">
        <v>14357.872981177932</v>
      </c>
      <c r="AT213" s="28">
        <f t="shared" si="39"/>
        <v>179184.16303894782</v>
      </c>
      <c r="AU213" s="30">
        <f t="shared" si="35"/>
        <v>0</v>
      </c>
      <c r="AV213" s="30">
        <f t="shared" si="35"/>
        <v>0</v>
      </c>
      <c r="AW213" s="30">
        <f t="shared" si="35"/>
        <v>0</v>
      </c>
      <c r="AX213" s="30">
        <f t="shared" si="35"/>
        <v>0</v>
      </c>
      <c r="AY213" s="31">
        <f t="shared" si="35"/>
        <v>0</v>
      </c>
      <c r="AZ213" s="30">
        <f t="shared" si="34"/>
        <v>0</v>
      </c>
      <c r="BA213" s="30">
        <f t="shared" si="34"/>
        <v>0</v>
      </c>
      <c r="BB213" s="30">
        <f t="shared" si="34"/>
        <v>0</v>
      </c>
      <c r="BC213" s="30">
        <f t="shared" ref="BC213:BL253" si="40">IFERROR(AK213/R213,0)</f>
        <v>1.8826822457603807</v>
      </c>
      <c r="BD213" s="30">
        <f t="shared" si="40"/>
        <v>2.181907387635619</v>
      </c>
      <c r="BE213" s="30">
        <f t="shared" si="40"/>
        <v>2.5273193474989717</v>
      </c>
      <c r="BF213" s="30">
        <f t="shared" si="40"/>
        <v>2.3034876018779178</v>
      </c>
      <c r="BG213" s="30">
        <f t="shared" si="40"/>
        <v>2.3069545600018482</v>
      </c>
      <c r="BH213" s="30">
        <f t="shared" si="40"/>
        <v>2.3100893598370034</v>
      </c>
      <c r="BI213" s="30">
        <f t="shared" si="33"/>
        <v>2.3108369822650903</v>
      </c>
      <c r="BJ213" s="30">
        <f t="shared" si="33"/>
        <v>2.3102240280344737</v>
      </c>
      <c r="BK213" s="30">
        <f t="shared" si="33"/>
        <v>2.3092560898087484</v>
      </c>
      <c r="BL213" s="31">
        <f t="shared" si="33"/>
        <v>2.2197802249729217</v>
      </c>
    </row>
    <row r="214" spans="2:64" ht="15" x14ac:dyDescent="0.4">
      <c r="B214" t="s">
        <v>341</v>
      </c>
      <c r="C214" s="26">
        <v>61032</v>
      </c>
      <c r="D214" t="s">
        <v>340</v>
      </c>
      <c r="E214" t="s">
        <v>340</v>
      </c>
      <c r="F214" t="s">
        <v>60</v>
      </c>
      <c r="G214" t="s">
        <v>33</v>
      </c>
      <c r="H214" t="s">
        <v>34</v>
      </c>
      <c r="J214" s="27">
        <v>15256.37317786675</v>
      </c>
      <c r="K214" s="27">
        <v>18312.939061253681</v>
      </c>
      <c r="L214" s="27">
        <v>15842.065575657134</v>
      </c>
      <c r="M214" s="27">
        <v>12540.779480890295</v>
      </c>
      <c r="N214" s="28">
        <f t="shared" si="36"/>
        <v>61952.157295667857</v>
      </c>
      <c r="O214" s="27">
        <v>8399.3568512109086</v>
      </c>
      <c r="P214" s="27">
        <v>7310.0808754134569</v>
      </c>
      <c r="Q214" s="27">
        <v>20016.916184964874</v>
      </c>
      <c r="R214" s="27">
        <v>15074.477773450106</v>
      </c>
      <c r="S214" s="27">
        <v>18976.47765841203</v>
      </c>
      <c r="T214" s="27">
        <v>35026.512268764811</v>
      </c>
      <c r="U214" s="27">
        <v>26441.720554962765</v>
      </c>
      <c r="V214" s="27">
        <v>17602.562641404398</v>
      </c>
      <c r="W214" s="27">
        <v>17801.592459093623</v>
      </c>
      <c r="X214" s="27">
        <v>21368.084937093707</v>
      </c>
      <c r="Y214" s="27">
        <v>18484.995863710126</v>
      </c>
      <c r="Z214" s="27">
        <v>14632.956524821209</v>
      </c>
      <c r="AA214" s="28">
        <f t="shared" si="37"/>
        <v>221135.73459330198</v>
      </c>
      <c r="AB214" s="29"/>
      <c r="AC214" s="27">
        <v>96323.538802749041</v>
      </c>
      <c r="AD214" s="27">
        <v>115621.6536980188</v>
      </c>
      <c r="AE214" s="27">
        <v>100021.40091894884</v>
      </c>
      <c r="AF214" s="27">
        <v>79178.206042883568</v>
      </c>
      <c r="AG214" s="28">
        <f t="shared" si="38"/>
        <v>391144.79946260026</v>
      </c>
      <c r="AH214" s="27">
        <v>54173.447502989336</v>
      </c>
      <c r="AI214" s="27">
        <v>47147.92924766909</v>
      </c>
      <c r="AJ214" s="27">
        <v>129103.37985718506</v>
      </c>
      <c r="AK214" s="27">
        <v>97226.066800251268</v>
      </c>
      <c r="AL214" s="27">
        <v>125437.41227179715</v>
      </c>
      <c r="AM214" s="27">
        <v>234947.41746380646</v>
      </c>
      <c r="AN214" s="27">
        <v>177363.1902034427</v>
      </c>
      <c r="AO214" s="27">
        <v>118072.75019588142</v>
      </c>
      <c r="AP214" s="27">
        <v>119407.78296493256</v>
      </c>
      <c r="AQ214" s="27">
        <v>143330.75281932615</v>
      </c>
      <c r="AR214" s="27">
        <v>123991.84956478655</v>
      </c>
      <c r="AS214" s="27">
        <v>98153.516370305137</v>
      </c>
      <c r="AT214" s="28">
        <f t="shared" si="39"/>
        <v>1468355.495262373</v>
      </c>
      <c r="AU214" s="30">
        <f t="shared" si="35"/>
        <v>6.3136590642978527</v>
      </c>
      <c r="AV214" s="30">
        <f t="shared" si="35"/>
        <v>6.3136590642978678</v>
      </c>
      <c r="AW214" s="30">
        <f t="shared" si="35"/>
        <v>6.3136590642978652</v>
      </c>
      <c r="AX214" s="30">
        <f t="shared" si="35"/>
        <v>6.3136590642978563</v>
      </c>
      <c r="AY214" s="31">
        <f t="shared" si="35"/>
        <v>6.3136590642978616</v>
      </c>
      <c r="AZ214" s="30">
        <f t="shared" si="35"/>
        <v>6.449713765308033</v>
      </c>
      <c r="BA214" s="30">
        <f t="shared" si="35"/>
        <v>6.4497137653080223</v>
      </c>
      <c r="BB214" s="30">
        <f t="shared" si="35"/>
        <v>6.4497137653080312</v>
      </c>
      <c r="BC214" s="30">
        <f t="shared" si="40"/>
        <v>6.4497137653080419</v>
      </c>
      <c r="BD214" s="30">
        <f t="shared" si="40"/>
        <v>6.6101525546387343</v>
      </c>
      <c r="BE214" s="30">
        <f t="shared" si="40"/>
        <v>6.707702315920355</v>
      </c>
      <c r="BF214" s="30">
        <f t="shared" si="40"/>
        <v>6.7077023159203595</v>
      </c>
      <c r="BG214" s="30">
        <f t="shared" si="40"/>
        <v>6.7077023159203559</v>
      </c>
      <c r="BH214" s="30">
        <f t="shared" si="40"/>
        <v>6.7077023159203515</v>
      </c>
      <c r="BI214" s="30">
        <f t="shared" si="33"/>
        <v>6.7077023159203479</v>
      </c>
      <c r="BJ214" s="30">
        <f t="shared" si="33"/>
        <v>6.7077023159203524</v>
      </c>
      <c r="BK214" s="30">
        <f t="shared" si="33"/>
        <v>6.7077023159203577</v>
      </c>
      <c r="BL214" s="31">
        <f t="shared" si="33"/>
        <v>6.6400642933756231</v>
      </c>
    </row>
    <row r="215" spans="2:64" ht="15" x14ac:dyDescent="0.4">
      <c r="B215" t="s">
        <v>342</v>
      </c>
      <c r="C215" s="26">
        <v>61033</v>
      </c>
      <c r="D215" t="s">
        <v>340</v>
      </c>
      <c r="E215" t="s">
        <v>340</v>
      </c>
      <c r="F215" t="s">
        <v>60</v>
      </c>
      <c r="G215" t="s">
        <v>33</v>
      </c>
      <c r="H215" t="s">
        <v>34</v>
      </c>
      <c r="J215" s="27">
        <v>15264.451971166656</v>
      </c>
      <c r="K215" s="27">
        <v>18322.636415117904</v>
      </c>
      <c r="L215" s="27">
        <v>15850.454513954421</v>
      </c>
      <c r="M215" s="27">
        <v>12547.420270550114</v>
      </c>
      <c r="N215" s="28">
        <f t="shared" si="36"/>
        <v>61984.963170789095</v>
      </c>
      <c r="O215" s="27">
        <v>7149.4883241663938</v>
      </c>
      <c r="P215" s="27">
        <v>6222.3023492502216</v>
      </c>
      <c r="Q215" s="27">
        <v>17038.29365573293</v>
      </c>
      <c r="R215" s="27">
        <v>12831.316104714604</v>
      </c>
      <c r="S215" s="27">
        <v>16152.677860455686</v>
      </c>
      <c r="T215" s="27">
        <v>29814.382807857757</v>
      </c>
      <c r="U215" s="27">
        <v>22507.053305078105</v>
      </c>
      <c r="V215" s="27">
        <v>14983.20863245442</v>
      </c>
      <c r="W215" s="27">
        <v>15152.621765261703</v>
      </c>
      <c r="X215" s="27">
        <v>18188.40138284193</v>
      </c>
      <c r="Y215" s="27">
        <v>15734.331144747919</v>
      </c>
      <c r="Z215" s="27">
        <v>12455.495542752325</v>
      </c>
      <c r="AA215" s="28">
        <f t="shared" si="37"/>
        <v>188229.57287531398</v>
      </c>
      <c r="AB215" s="29"/>
      <c r="AC215" s="27">
        <v>103194.04716943344</v>
      </c>
      <c r="AD215" s="27">
        <v>123868.64658237339</v>
      </c>
      <c r="AE215" s="27">
        <v>107155.66820607957</v>
      </c>
      <c r="AF215" s="27">
        <v>84825.782261928951</v>
      </c>
      <c r="AG215" s="28">
        <f t="shared" si="38"/>
        <v>419044.14421981532</v>
      </c>
      <c r="AH215" s="27">
        <v>47893.62711721399</v>
      </c>
      <c r="AI215" s="27">
        <v>41682.511392911692</v>
      </c>
      <c r="AJ215" s="27">
        <v>114137.6342000546</v>
      </c>
      <c r="AK215" s="27">
        <v>85955.559485994003</v>
      </c>
      <c r="AL215" s="27">
        <v>110519.33931517431</v>
      </c>
      <c r="AM215" s="27">
        <v>207712.16385191362</v>
      </c>
      <c r="AN215" s="27">
        <v>156803.13672956591</v>
      </c>
      <c r="AO215" s="27">
        <v>104385.68212358023</v>
      </c>
      <c r="AP215" s="27">
        <v>105565.95704750244</v>
      </c>
      <c r="AQ215" s="27">
        <v>126715.76106688782</v>
      </c>
      <c r="AR215" s="27">
        <v>109618.6357403577</v>
      </c>
      <c r="AS215" s="27">
        <v>86775.498513794126</v>
      </c>
      <c r="AT215" s="28">
        <f t="shared" si="39"/>
        <v>1297765.5065849503</v>
      </c>
      <c r="AU215" s="30">
        <f t="shared" si="35"/>
        <v>6.7604161200388226</v>
      </c>
      <c r="AV215" s="30">
        <f t="shared" si="35"/>
        <v>6.7604161200388209</v>
      </c>
      <c r="AW215" s="30">
        <f t="shared" si="35"/>
        <v>6.7604161200388218</v>
      </c>
      <c r="AX215" s="30">
        <f t="shared" si="35"/>
        <v>6.7604161200388289</v>
      </c>
      <c r="AY215" s="31">
        <f t="shared" si="35"/>
        <v>6.7604161200388226</v>
      </c>
      <c r="AZ215" s="30">
        <f t="shared" si="35"/>
        <v>6.6988887799600993</v>
      </c>
      <c r="BA215" s="30">
        <f t="shared" si="35"/>
        <v>6.698888779960102</v>
      </c>
      <c r="BB215" s="30">
        <f t="shared" si="35"/>
        <v>6.6988887799600949</v>
      </c>
      <c r="BC215" s="30">
        <f t="shared" si="40"/>
        <v>6.6988887799601002</v>
      </c>
      <c r="BD215" s="30">
        <f t="shared" si="40"/>
        <v>6.8421682317916561</v>
      </c>
      <c r="BE215" s="30">
        <f t="shared" si="40"/>
        <v>6.9668443311585122</v>
      </c>
      <c r="BF215" s="30">
        <f t="shared" si="40"/>
        <v>6.9668443311585149</v>
      </c>
      <c r="BG215" s="30">
        <f t="shared" si="40"/>
        <v>6.9668443311585042</v>
      </c>
      <c r="BH215" s="30">
        <f t="shared" si="40"/>
        <v>6.9668443311585024</v>
      </c>
      <c r="BI215" s="30">
        <f t="shared" si="33"/>
        <v>6.9668443311585051</v>
      </c>
      <c r="BJ215" s="30">
        <f t="shared" si="33"/>
        <v>6.9668443311585015</v>
      </c>
      <c r="BK215" s="30">
        <f t="shared" si="33"/>
        <v>6.9668443311585095</v>
      </c>
      <c r="BL215" s="31">
        <f t="shared" si="33"/>
        <v>6.894588808553527</v>
      </c>
    </row>
    <row r="216" spans="2:64" ht="15" x14ac:dyDescent="0.4">
      <c r="B216" t="s">
        <v>343</v>
      </c>
      <c r="C216" s="26">
        <v>61034</v>
      </c>
      <c r="D216" t="s">
        <v>340</v>
      </c>
      <c r="E216" t="s">
        <v>340</v>
      </c>
      <c r="F216" t="s">
        <v>60</v>
      </c>
      <c r="G216" t="s">
        <v>33</v>
      </c>
      <c r="H216" t="s">
        <v>34</v>
      </c>
      <c r="J216" s="27">
        <v>10729.834640315446</v>
      </c>
      <c r="K216" s="27">
        <v>12879.522912463335</v>
      </c>
      <c r="L216" s="27">
        <v>11141.753154965942</v>
      </c>
      <c r="M216" s="27">
        <v>8819.952718895729</v>
      </c>
      <c r="N216" s="28">
        <f t="shared" si="36"/>
        <v>43571.063426640452</v>
      </c>
      <c r="O216" s="27">
        <v>5615.8411998193669</v>
      </c>
      <c r="P216" s="27">
        <v>4887.5472350290893</v>
      </c>
      <c r="Q216" s="27">
        <v>13383.384537192365</v>
      </c>
      <c r="R216" s="27">
        <v>10078.851850864985</v>
      </c>
      <c r="S216" s="27">
        <v>12687.743472430077</v>
      </c>
      <c r="T216" s="27">
        <v>23418.85624927935</v>
      </c>
      <c r="U216" s="27">
        <v>17679.032611319857</v>
      </c>
      <c r="V216" s="27">
        <v>11769.138787066624</v>
      </c>
      <c r="W216" s="27">
        <v>11902.210862699474</v>
      </c>
      <c r="X216" s="27">
        <v>14286.780985340625</v>
      </c>
      <c r="Y216" s="27">
        <v>12359.136918316339</v>
      </c>
      <c r="Z216" s="27">
        <v>9783.6491034917217</v>
      </c>
      <c r="AA216" s="28">
        <f t="shared" si="37"/>
        <v>147852.17381284985</v>
      </c>
      <c r="AB216" s="29"/>
      <c r="AC216" s="27">
        <v>74103.818352060334</v>
      </c>
      <c r="AD216" s="27">
        <v>88950.282866458438</v>
      </c>
      <c r="AE216" s="27">
        <v>76948.665063007822</v>
      </c>
      <c r="AF216" s="27">
        <v>60913.536514258478</v>
      </c>
      <c r="AG216" s="28">
        <f t="shared" si="38"/>
        <v>300916.30279578507</v>
      </c>
      <c r="AH216" s="27">
        <v>37986.003999048546</v>
      </c>
      <c r="AI216" s="27">
        <v>33059.764727913898</v>
      </c>
      <c r="AJ216" s="27">
        <v>90526.295253317759</v>
      </c>
      <c r="AK216" s="27">
        <v>68174.16894286286</v>
      </c>
      <c r="AL216" s="27">
        <v>87725.655451803439</v>
      </c>
      <c r="AM216" s="27">
        <v>164743.31892674562</v>
      </c>
      <c r="AN216" s="27">
        <v>124365.70244085373</v>
      </c>
      <c r="AO216" s="27">
        <v>82791.70272248087</v>
      </c>
      <c r="AP216" s="27">
        <v>83727.81741411527</v>
      </c>
      <c r="AQ216" s="27">
        <v>100502.41955676053</v>
      </c>
      <c r="AR216" s="27">
        <v>86942.129595084698</v>
      </c>
      <c r="AS216" s="27">
        <v>68824.48943566595</v>
      </c>
      <c r="AT216" s="28">
        <f t="shared" si="39"/>
        <v>1029369.4684666533</v>
      </c>
      <c r="AU216" s="30">
        <f t="shared" si="35"/>
        <v>6.9063336795171484</v>
      </c>
      <c r="AV216" s="30">
        <f t="shared" si="35"/>
        <v>6.9063336795171573</v>
      </c>
      <c r="AW216" s="30">
        <f t="shared" si="35"/>
        <v>6.9063336795171564</v>
      </c>
      <c r="AX216" s="30">
        <f t="shared" si="35"/>
        <v>6.9063336795171555</v>
      </c>
      <c r="AY216" s="31">
        <f t="shared" si="35"/>
        <v>6.9063336795171546</v>
      </c>
      <c r="AZ216" s="30">
        <f t="shared" si="35"/>
        <v>6.7640808647278634</v>
      </c>
      <c r="BA216" s="30">
        <f t="shared" si="35"/>
        <v>6.764080864727875</v>
      </c>
      <c r="BB216" s="30">
        <f t="shared" si="35"/>
        <v>6.7640808647278714</v>
      </c>
      <c r="BC216" s="30">
        <f t="shared" si="40"/>
        <v>6.7640808647278643</v>
      </c>
      <c r="BD216" s="30">
        <f t="shared" si="40"/>
        <v>6.9142046923022624</v>
      </c>
      <c r="BE216" s="30">
        <f t="shared" si="40"/>
        <v>7.0346440993169823</v>
      </c>
      <c r="BF216" s="30">
        <f t="shared" si="40"/>
        <v>7.0346440993169814</v>
      </c>
      <c r="BG216" s="30">
        <f t="shared" si="40"/>
        <v>7.0346440993169841</v>
      </c>
      <c r="BH216" s="30">
        <f t="shared" si="40"/>
        <v>7.0346440993169761</v>
      </c>
      <c r="BI216" s="30">
        <f t="shared" si="33"/>
        <v>7.034644099316985</v>
      </c>
      <c r="BJ216" s="30">
        <f t="shared" si="33"/>
        <v>7.0346440993169814</v>
      </c>
      <c r="BK216" s="30">
        <f t="shared" si="33"/>
        <v>7.034644099316985</v>
      </c>
      <c r="BL216" s="31">
        <f t="shared" si="33"/>
        <v>6.9621530879188915</v>
      </c>
    </row>
    <row r="217" spans="2:64" ht="15" x14ac:dyDescent="0.4">
      <c r="B217" t="s">
        <v>344</v>
      </c>
      <c r="C217" s="26">
        <v>61035</v>
      </c>
      <c r="D217" t="s">
        <v>340</v>
      </c>
      <c r="E217" t="s">
        <v>340</v>
      </c>
      <c r="F217" t="s">
        <v>60</v>
      </c>
      <c r="G217" t="s">
        <v>33</v>
      </c>
      <c r="H217" t="s">
        <v>34</v>
      </c>
      <c r="J217" s="27">
        <v>9265.7421137362417</v>
      </c>
      <c r="K217" s="27">
        <v>11122.1041008824</v>
      </c>
      <c r="L217" s="27">
        <v>9621.4540940760144</v>
      </c>
      <c r="M217" s="27">
        <v>7616.464753480318</v>
      </c>
      <c r="N217" s="28">
        <f t="shared" si="36"/>
        <v>37625.765062174971</v>
      </c>
      <c r="O217" s="27">
        <v>4335.4524027697726</v>
      </c>
      <c r="P217" s="27">
        <v>3773.2064796346385</v>
      </c>
      <c r="Q217" s="27">
        <v>10332.027666813068</v>
      </c>
      <c r="R217" s="27">
        <v>7780.9149011191103</v>
      </c>
      <c r="S217" s="27">
        <v>9794.9899162110596</v>
      </c>
      <c r="T217" s="27">
        <v>18079.452923156674</v>
      </c>
      <c r="U217" s="27">
        <v>13648.285570442615</v>
      </c>
      <c r="V217" s="27">
        <v>9085.8233374832744</v>
      </c>
      <c r="W217" s="27">
        <v>9188.5555247934426</v>
      </c>
      <c r="X217" s="27">
        <v>11029.453424133977</v>
      </c>
      <c r="Y217" s="27">
        <v>9541.3043108125112</v>
      </c>
      <c r="Z217" s="27">
        <v>7553.0171713106356</v>
      </c>
      <c r="AA217" s="28">
        <f t="shared" si="37"/>
        <v>114142.48362868078</v>
      </c>
      <c r="AB217" s="29"/>
      <c r="AC217" s="27">
        <v>75519.871087977212</v>
      </c>
      <c r="AD217" s="27">
        <v>90650.037267982014</v>
      </c>
      <c r="AE217" s="27">
        <v>78419.080084943096</v>
      </c>
      <c r="AF217" s="27">
        <v>62077.535643501586</v>
      </c>
      <c r="AG217" s="28">
        <f t="shared" si="38"/>
        <v>306666.52408440388</v>
      </c>
      <c r="AH217" s="27">
        <v>38607.006691217895</v>
      </c>
      <c r="AI217" s="27">
        <v>33600.232287992963</v>
      </c>
      <c r="AJ217" s="27">
        <v>92006.236998857363</v>
      </c>
      <c r="AK217" s="27">
        <v>69288.693714960216</v>
      </c>
      <c r="AL217" s="27">
        <v>88979.216857161009</v>
      </c>
      <c r="AM217" s="27">
        <v>167436.57522643407</v>
      </c>
      <c r="AN217" s="27">
        <v>126398.85749531121</v>
      </c>
      <c r="AO217" s="27">
        <v>84145.197822445421</v>
      </c>
      <c r="AP217" s="27">
        <v>85096.616301856513</v>
      </c>
      <c r="AQ217" s="27">
        <v>102145.45295179318</v>
      </c>
      <c r="AR217" s="27">
        <v>88363.476692895609</v>
      </c>
      <c r="AS217" s="27">
        <v>69949.645775558951</v>
      </c>
      <c r="AT217" s="28">
        <f t="shared" si="39"/>
        <v>1046017.2088164843</v>
      </c>
      <c r="AU217" s="30">
        <f t="shared" si="35"/>
        <v>8.1504395612328562</v>
      </c>
      <c r="AV217" s="30">
        <f t="shared" si="35"/>
        <v>8.1504395612328491</v>
      </c>
      <c r="AW217" s="30">
        <f t="shared" si="35"/>
        <v>8.1504395612328686</v>
      </c>
      <c r="AX217" s="30">
        <f t="shared" si="35"/>
        <v>8.1504395612328491</v>
      </c>
      <c r="AY217" s="31">
        <f t="shared" si="35"/>
        <v>8.1504395612328562</v>
      </c>
      <c r="AZ217" s="30">
        <f t="shared" si="35"/>
        <v>8.9049545709585463</v>
      </c>
      <c r="BA217" s="30">
        <f t="shared" si="35"/>
        <v>8.9049545709585693</v>
      </c>
      <c r="BB217" s="30">
        <f t="shared" si="35"/>
        <v>8.9049545709585622</v>
      </c>
      <c r="BC217" s="30">
        <f t="shared" si="40"/>
        <v>8.9049545709585622</v>
      </c>
      <c r="BD217" s="30">
        <f t="shared" si="40"/>
        <v>9.0841560449079388</v>
      </c>
      <c r="BE217" s="30">
        <f t="shared" si="40"/>
        <v>9.2611527537969121</v>
      </c>
      <c r="BF217" s="30">
        <f t="shared" si="40"/>
        <v>9.2611527537969067</v>
      </c>
      <c r="BG217" s="30">
        <f t="shared" si="40"/>
        <v>9.2611527537969067</v>
      </c>
      <c r="BH217" s="30">
        <f t="shared" si="40"/>
        <v>9.2611527537968996</v>
      </c>
      <c r="BI217" s="30">
        <f t="shared" si="33"/>
        <v>9.2611527537969138</v>
      </c>
      <c r="BJ217" s="30">
        <f t="shared" si="33"/>
        <v>9.2611527537969085</v>
      </c>
      <c r="BK217" s="30">
        <f t="shared" si="33"/>
        <v>9.2611527537969245</v>
      </c>
      <c r="BL217" s="31">
        <f t="shared" si="33"/>
        <v>9.1641356974437667</v>
      </c>
    </row>
    <row r="218" spans="2:64" ht="15" x14ac:dyDescent="0.4">
      <c r="B218" t="s">
        <v>345</v>
      </c>
      <c r="C218" s="26">
        <v>61051</v>
      </c>
      <c r="D218" t="s">
        <v>346</v>
      </c>
      <c r="E218" t="s">
        <v>346</v>
      </c>
      <c r="F218" t="s">
        <v>60</v>
      </c>
      <c r="G218" t="s">
        <v>33</v>
      </c>
      <c r="H218" t="s">
        <v>34</v>
      </c>
      <c r="J218" s="27">
        <v>4407.9113476832081</v>
      </c>
      <c r="K218" s="27">
        <v>5291.0223784142154</v>
      </c>
      <c r="L218" s="27">
        <v>4577.1311312040643</v>
      </c>
      <c r="M218" s="27">
        <v>3623.3148952337397</v>
      </c>
      <c r="N218" s="28">
        <f t="shared" si="36"/>
        <v>17899.379752535227</v>
      </c>
      <c r="O218" s="27">
        <v>1275.1626518298076</v>
      </c>
      <c r="P218" s="27">
        <v>1109.7923661665495</v>
      </c>
      <c r="Q218" s="27">
        <v>3038.902189302145</v>
      </c>
      <c r="R218" s="27">
        <v>2288.5574923240597</v>
      </c>
      <c r="S218" s="27">
        <v>2880.9462440926327</v>
      </c>
      <c r="T218" s="27">
        <v>5317.6095575160953</v>
      </c>
      <c r="U218" s="27">
        <v>4014.2947965055337</v>
      </c>
      <c r="V218" s="27">
        <v>2672.3629980761657</v>
      </c>
      <c r="W218" s="27">
        <v>2702.5790484968752</v>
      </c>
      <c r="X218" s="27">
        <v>3244.0321724133837</v>
      </c>
      <c r="Y218" s="27">
        <v>2806.3310991761696</v>
      </c>
      <c r="Z218" s="27">
        <v>2221.5271927172871</v>
      </c>
      <c r="AA218" s="28">
        <f t="shared" si="37"/>
        <v>33572.097808616702</v>
      </c>
      <c r="AB218" s="29"/>
      <c r="AC218" s="27">
        <v>199542.0851902756</v>
      </c>
      <c r="AD218" s="27">
        <v>239519.70783897451</v>
      </c>
      <c r="AE218" s="27">
        <v>207202.50886847576</v>
      </c>
      <c r="AF218" s="27">
        <v>164024.12672748812</v>
      </c>
      <c r="AG218" s="28">
        <f t="shared" si="38"/>
        <v>810288.42862521403</v>
      </c>
      <c r="AH218" s="27">
        <v>56193.686505825608</v>
      </c>
      <c r="AI218" s="27">
        <v>48906.172260795669</v>
      </c>
      <c r="AJ218" s="27">
        <v>133917.90976819154</v>
      </c>
      <c r="AK218" s="27">
        <v>100851.82630598306</v>
      </c>
      <c r="AL218" s="27">
        <v>131365.0853166997</v>
      </c>
      <c r="AM218" s="27">
        <v>243709.08869305297</v>
      </c>
      <c r="AN218" s="27">
        <v>183977.42745494295</v>
      </c>
      <c r="AO218" s="27">
        <v>122475.92529572542</v>
      </c>
      <c r="AP218" s="27">
        <v>123860.74417576668</v>
      </c>
      <c r="AQ218" s="27">
        <v>148675.85065781107</v>
      </c>
      <c r="AR218" s="27">
        <v>128615.76002407135</v>
      </c>
      <c r="AS218" s="27">
        <v>101813.86237331487</v>
      </c>
      <c r="AT218" s="28">
        <f t="shared" si="39"/>
        <v>1524363.3388321809</v>
      </c>
      <c r="AU218" s="30">
        <f t="shared" si="35"/>
        <v>45.269078584158599</v>
      </c>
      <c r="AV218" s="30">
        <f t="shared" si="35"/>
        <v>45.269078584158535</v>
      </c>
      <c r="AW218" s="30">
        <f t="shared" si="35"/>
        <v>45.269078584158649</v>
      </c>
      <c r="AX218" s="30">
        <f t="shared" si="35"/>
        <v>45.269078584158486</v>
      </c>
      <c r="AY218" s="31">
        <f t="shared" si="35"/>
        <v>45.269078584158571</v>
      </c>
      <c r="AZ218" s="30">
        <f t="shared" si="35"/>
        <v>44.067857873024991</v>
      </c>
      <c r="BA218" s="30">
        <f t="shared" si="35"/>
        <v>44.067857873025041</v>
      </c>
      <c r="BB218" s="30">
        <f t="shared" si="35"/>
        <v>44.067857873025034</v>
      </c>
      <c r="BC218" s="30">
        <f t="shared" si="40"/>
        <v>44.067857873024955</v>
      </c>
      <c r="BD218" s="30">
        <f t="shared" si="40"/>
        <v>45.597895339443845</v>
      </c>
      <c r="BE218" s="30">
        <f t="shared" si="40"/>
        <v>45.830572187945997</v>
      </c>
      <c r="BF218" s="30">
        <f t="shared" si="40"/>
        <v>45.830572187946025</v>
      </c>
      <c r="BG218" s="30">
        <f t="shared" si="40"/>
        <v>45.830572187945968</v>
      </c>
      <c r="BH218" s="30">
        <f t="shared" si="40"/>
        <v>45.830572187946082</v>
      </c>
      <c r="BI218" s="30">
        <f t="shared" si="33"/>
        <v>45.830572187946061</v>
      </c>
      <c r="BJ218" s="30">
        <f t="shared" si="33"/>
        <v>45.830572187946025</v>
      </c>
      <c r="BK218" s="30">
        <f t="shared" si="33"/>
        <v>45.830572187946096</v>
      </c>
      <c r="BL218" s="31">
        <f t="shared" si="33"/>
        <v>45.405662390300016</v>
      </c>
    </row>
    <row r="219" spans="2:64" ht="15" x14ac:dyDescent="0.4">
      <c r="B219" t="s">
        <v>347</v>
      </c>
      <c r="C219" s="26">
        <v>61052</v>
      </c>
      <c r="D219" t="s">
        <v>346</v>
      </c>
      <c r="E219" t="s">
        <v>346</v>
      </c>
      <c r="F219" t="s">
        <v>60</v>
      </c>
      <c r="G219" t="s">
        <v>33</v>
      </c>
      <c r="H219" t="s">
        <v>76</v>
      </c>
      <c r="J219" s="27">
        <v>984.6038563333575</v>
      </c>
      <c r="K219" s="27">
        <v>1181.8661100048828</v>
      </c>
      <c r="L219" s="27">
        <v>1022.4028133178491</v>
      </c>
      <c r="M219" s="27">
        <v>809.34699842189912</v>
      </c>
      <c r="N219" s="28">
        <f t="shared" si="36"/>
        <v>3998.2197780779884</v>
      </c>
      <c r="O219" s="27">
        <v>401.87775600326478</v>
      </c>
      <c r="P219" s="27">
        <v>349.75998168121754</v>
      </c>
      <c r="Q219" s="27">
        <v>957.73444336507475</v>
      </c>
      <c r="R219" s="27">
        <v>721.25728288849245</v>
      </c>
      <c r="S219" s="27">
        <v>907.95335801326939</v>
      </c>
      <c r="T219" s="27">
        <v>1675.8873804918387</v>
      </c>
      <c r="U219" s="27">
        <v>1265.1372610703966</v>
      </c>
      <c r="V219" s="27">
        <v>842.21667200800687</v>
      </c>
      <c r="W219" s="27">
        <v>851.73950309228803</v>
      </c>
      <c r="X219" s="27">
        <v>1022.3828058178489</v>
      </c>
      <c r="Y219" s="27">
        <v>884.43779553984291</v>
      </c>
      <c r="Z219" s="27">
        <v>700.13214536071166</v>
      </c>
      <c r="AA219" s="28">
        <f t="shared" si="37"/>
        <v>10580.516385332254</v>
      </c>
      <c r="AB219" s="29"/>
      <c r="AC219" s="27">
        <v>76542.929469411247</v>
      </c>
      <c r="AD219" s="27">
        <v>91878.062144988085</v>
      </c>
      <c r="AE219" s="27">
        <v>79481.413693163617</v>
      </c>
      <c r="AF219" s="27">
        <v>62918.492364215148</v>
      </c>
      <c r="AG219" s="28">
        <f t="shared" si="38"/>
        <v>310820.8976717781</v>
      </c>
      <c r="AH219" s="27">
        <v>30611.489753772221</v>
      </c>
      <c r="AI219" s="27">
        <v>26641.619088335876</v>
      </c>
      <c r="AJ219" s="27">
        <v>72951.73137093609</v>
      </c>
      <c r="AK219" s="27">
        <v>54938.994744449905</v>
      </c>
      <c r="AL219" s="27">
        <v>71595.213213315234</v>
      </c>
      <c r="AM219" s="27">
        <v>132760.43511854572</v>
      </c>
      <c r="AN219" s="27">
        <v>100221.63494965767</v>
      </c>
      <c r="AO219" s="27">
        <v>66718.714599462925</v>
      </c>
      <c r="AP219" s="27">
        <v>67473.094167580755</v>
      </c>
      <c r="AQ219" s="27">
        <v>80991.114163209888</v>
      </c>
      <c r="AR219" s="27">
        <v>70063.387276474969</v>
      </c>
      <c r="AS219" s="27">
        <v>55463.063533117624</v>
      </c>
      <c r="AT219" s="28">
        <f t="shared" si="39"/>
        <v>830430.49197885895</v>
      </c>
      <c r="AU219" s="30">
        <f t="shared" si="35"/>
        <v>77.739822952202715</v>
      </c>
      <c r="AV219" s="30">
        <f t="shared" si="35"/>
        <v>77.739822952202687</v>
      </c>
      <c r="AW219" s="30">
        <f t="shared" si="35"/>
        <v>77.739822952202772</v>
      </c>
      <c r="AX219" s="30">
        <f t="shared" si="35"/>
        <v>77.739822952202744</v>
      </c>
      <c r="AY219" s="31">
        <f t="shared" si="35"/>
        <v>77.739822952202729</v>
      </c>
      <c r="AZ219" s="30">
        <f t="shared" si="35"/>
        <v>76.171147311580839</v>
      </c>
      <c r="BA219" s="30">
        <f t="shared" si="35"/>
        <v>76.171147311580953</v>
      </c>
      <c r="BB219" s="30">
        <f t="shared" si="35"/>
        <v>76.171147311580953</v>
      </c>
      <c r="BC219" s="30">
        <f t="shared" si="40"/>
        <v>76.171147311580853</v>
      </c>
      <c r="BD219" s="30">
        <f t="shared" si="40"/>
        <v>78.853404287171429</v>
      </c>
      <c r="BE219" s="30">
        <f t="shared" si="40"/>
        <v>79.217993204044078</v>
      </c>
      <c r="BF219" s="30">
        <f t="shared" si="40"/>
        <v>79.21799320404412</v>
      </c>
      <c r="BG219" s="30">
        <f t="shared" si="40"/>
        <v>79.217993204044092</v>
      </c>
      <c r="BH219" s="30">
        <f t="shared" si="40"/>
        <v>79.217993204044078</v>
      </c>
      <c r="BI219" s="30">
        <f t="shared" si="33"/>
        <v>79.217993204044092</v>
      </c>
      <c r="BJ219" s="30">
        <f t="shared" si="33"/>
        <v>79.217993204044035</v>
      </c>
      <c r="BK219" s="30">
        <f t="shared" si="33"/>
        <v>79.217993204044035</v>
      </c>
      <c r="BL219" s="31">
        <f t="shared" si="33"/>
        <v>78.486763947559581</v>
      </c>
    </row>
    <row r="220" spans="2:64" ht="15" x14ac:dyDescent="0.4">
      <c r="B220" t="s">
        <v>348</v>
      </c>
      <c r="C220" s="26">
        <v>61054</v>
      </c>
      <c r="D220" t="s">
        <v>346</v>
      </c>
      <c r="E220" t="s">
        <v>346</v>
      </c>
      <c r="F220" t="s">
        <v>60</v>
      </c>
      <c r="G220" t="s">
        <v>33</v>
      </c>
      <c r="H220" t="s">
        <v>76</v>
      </c>
      <c r="J220" s="27">
        <v>860.10285683002553</v>
      </c>
      <c r="K220" s="27">
        <v>1032.4217308992766</v>
      </c>
      <c r="L220" s="27">
        <v>893.12221855447319</v>
      </c>
      <c r="M220" s="27">
        <v>707.00684446008825</v>
      </c>
      <c r="N220" s="28">
        <f t="shared" si="36"/>
        <v>3492.6536507438636</v>
      </c>
      <c r="O220" s="27">
        <v>291.41069171913387</v>
      </c>
      <c r="P220" s="27">
        <v>253.61890941922962</v>
      </c>
      <c r="Q220" s="27">
        <v>694.4750050360808</v>
      </c>
      <c r="R220" s="27">
        <v>523.00004310836039</v>
      </c>
      <c r="S220" s="27">
        <v>658.37760899911086</v>
      </c>
      <c r="T220" s="27">
        <v>1215.224016500496</v>
      </c>
      <c r="U220" s="27">
        <v>917.37977248280288</v>
      </c>
      <c r="V220" s="27">
        <v>610.71044440998276</v>
      </c>
      <c r="W220" s="27">
        <v>617.61566559214657</v>
      </c>
      <c r="X220" s="27">
        <v>741.35300149010402</v>
      </c>
      <c r="Y220" s="27">
        <v>641.32594036560158</v>
      </c>
      <c r="Z220" s="27">
        <v>507.68172591445523</v>
      </c>
      <c r="AA220" s="28">
        <f t="shared" si="37"/>
        <v>7672.1728250375054</v>
      </c>
      <c r="AB220" s="29"/>
      <c r="AC220" s="27">
        <v>40018.811600533707</v>
      </c>
      <c r="AD220" s="27">
        <v>48036.453330046323</v>
      </c>
      <c r="AE220" s="27">
        <v>41555.134385102363</v>
      </c>
      <c r="AF220" s="27">
        <v>32895.56997056635</v>
      </c>
      <c r="AG220" s="28">
        <f t="shared" si="38"/>
        <v>162505.96928624873</v>
      </c>
      <c r="AH220" s="27">
        <v>13391.958435602193</v>
      </c>
      <c r="AI220" s="27">
        <v>11655.21372393105</v>
      </c>
      <c r="AJ220" s="27">
        <v>31915.028055908373</v>
      </c>
      <c r="AK220" s="27">
        <v>24034.790205555953</v>
      </c>
      <c r="AL220" s="27">
        <v>31305.960505431492</v>
      </c>
      <c r="AM220" s="27">
        <v>58080.225539527593</v>
      </c>
      <c r="AN220" s="27">
        <v>43845.104579678911</v>
      </c>
      <c r="AO220" s="27">
        <v>29188.198940324652</v>
      </c>
      <c r="AP220" s="27">
        <v>29518.225995595814</v>
      </c>
      <c r="AQ220" s="27">
        <v>35432.108768674378</v>
      </c>
      <c r="AR220" s="27">
        <v>30651.431139460601</v>
      </c>
      <c r="AS220" s="27">
        <v>24264.060570758276</v>
      </c>
      <c r="AT220" s="28">
        <f t="shared" si="39"/>
        <v>363282.3064604493</v>
      </c>
      <c r="AU220" s="30">
        <f t="shared" si="35"/>
        <v>46.527937074905296</v>
      </c>
      <c r="AV220" s="30">
        <f t="shared" si="35"/>
        <v>46.527937074905275</v>
      </c>
      <c r="AW220" s="30">
        <f t="shared" si="35"/>
        <v>46.527937074905317</v>
      </c>
      <c r="AX220" s="30">
        <f t="shared" si="35"/>
        <v>46.52793707490531</v>
      </c>
      <c r="AY220" s="31">
        <f t="shared" si="35"/>
        <v>46.527937074905289</v>
      </c>
      <c r="AZ220" s="30">
        <f t="shared" si="35"/>
        <v>45.955618020047012</v>
      </c>
      <c r="BA220" s="30">
        <f t="shared" si="35"/>
        <v>45.955618020047133</v>
      </c>
      <c r="BB220" s="30">
        <f t="shared" si="35"/>
        <v>45.955618020047041</v>
      </c>
      <c r="BC220" s="30">
        <f t="shared" si="40"/>
        <v>45.955618020047055</v>
      </c>
      <c r="BD220" s="30">
        <f t="shared" si="40"/>
        <v>47.550159782960925</v>
      </c>
      <c r="BE220" s="30">
        <f t="shared" si="40"/>
        <v>47.793842740849001</v>
      </c>
      <c r="BF220" s="30">
        <f t="shared" si="40"/>
        <v>47.793842740848994</v>
      </c>
      <c r="BG220" s="30">
        <f t="shared" si="40"/>
        <v>47.793842740848888</v>
      </c>
      <c r="BH220" s="30">
        <f t="shared" si="40"/>
        <v>47.793842740848959</v>
      </c>
      <c r="BI220" s="30">
        <f t="shared" si="33"/>
        <v>47.793842740848937</v>
      </c>
      <c r="BJ220" s="30">
        <f t="shared" si="33"/>
        <v>47.793842740848902</v>
      </c>
      <c r="BK220" s="30">
        <f t="shared" si="33"/>
        <v>47.793842740848994</v>
      </c>
      <c r="BL220" s="31">
        <f t="shared" si="33"/>
        <v>47.350641694997712</v>
      </c>
    </row>
    <row r="221" spans="2:64" ht="15" x14ac:dyDescent="0.4">
      <c r="B221" t="s">
        <v>349</v>
      </c>
      <c r="C221" s="26">
        <v>61055</v>
      </c>
      <c r="D221" t="s">
        <v>346</v>
      </c>
      <c r="E221" t="s">
        <v>346</v>
      </c>
      <c r="F221" t="s">
        <v>60</v>
      </c>
      <c r="G221" t="s">
        <v>33</v>
      </c>
      <c r="H221" t="s">
        <v>34</v>
      </c>
      <c r="J221" s="27">
        <v>2211.5311512785734</v>
      </c>
      <c r="K221" s="27">
        <v>2654.6043894746731</v>
      </c>
      <c r="L221" s="27">
        <v>2296.431865732754</v>
      </c>
      <c r="M221" s="27">
        <v>1817.8845102936862</v>
      </c>
      <c r="N221" s="28">
        <f t="shared" si="36"/>
        <v>8980.4519167796861</v>
      </c>
      <c r="O221" s="27">
        <v>993.14421187828634</v>
      </c>
      <c r="P221" s="27">
        <v>864.34766832562684</v>
      </c>
      <c r="Q221" s="27">
        <v>2366.8103166595065</v>
      </c>
      <c r="R221" s="27">
        <v>1782.4138934675127</v>
      </c>
      <c r="S221" s="27">
        <v>2243.7883378621395</v>
      </c>
      <c r="T221" s="27">
        <v>4141.5525662530372</v>
      </c>
      <c r="U221" s="27">
        <v>3126.482442221572</v>
      </c>
      <c r="V221" s="27">
        <v>2081.3359297879401</v>
      </c>
      <c r="W221" s="27">
        <v>2104.8693163234498</v>
      </c>
      <c r="X221" s="27">
        <v>2526.5731948439325</v>
      </c>
      <c r="Y221" s="27">
        <v>2185.6752813152711</v>
      </c>
      <c r="Z221" s="27">
        <v>1730.20819721425</v>
      </c>
      <c r="AA221" s="28">
        <f t="shared" si="37"/>
        <v>26147.201356152524</v>
      </c>
      <c r="AB221" s="29"/>
      <c r="AC221" s="27">
        <v>101581.96928267938</v>
      </c>
      <c r="AD221" s="27">
        <v>121933.59401398506</v>
      </c>
      <c r="AE221" s="27">
        <v>105481.70262479228</v>
      </c>
      <c r="AF221" s="27">
        <v>83500.649935385387</v>
      </c>
      <c r="AG221" s="28">
        <f t="shared" si="38"/>
        <v>412497.91585684213</v>
      </c>
      <c r="AH221" s="27">
        <v>43841.541752581958</v>
      </c>
      <c r="AI221" s="27">
        <v>38155.923315484135</v>
      </c>
      <c r="AJ221" s="27">
        <v>104480.91231587014</v>
      </c>
      <c r="AK221" s="27">
        <v>78683.208537306506</v>
      </c>
      <c r="AL221" s="27">
        <v>102617.43179161708</v>
      </c>
      <c r="AM221" s="27">
        <v>190138.48088276805</v>
      </c>
      <c r="AN221" s="27">
        <v>143536.65987837099</v>
      </c>
      <c r="AO221" s="27">
        <v>95554.033316215922</v>
      </c>
      <c r="AP221" s="27">
        <v>96634.449970189977</v>
      </c>
      <c r="AQ221" s="27">
        <v>115994.85492982065</v>
      </c>
      <c r="AR221" s="27">
        <v>100344.24797082522</v>
      </c>
      <c r="AS221" s="27">
        <v>79433.77585253393</v>
      </c>
      <c r="AT221" s="28">
        <f t="shared" si="39"/>
        <v>1189415.5205135846</v>
      </c>
      <c r="AU221" s="30">
        <f t="shared" si="35"/>
        <v>45.932868376713046</v>
      </c>
      <c r="AV221" s="30">
        <f t="shared" si="35"/>
        <v>45.932868376713124</v>
      </c>
      <c r="AW221" s="30">
        <f t="shared" si="35"/>
        <v>45.932868376713103</v>
      </c>
      <c r="AX221" s="30">
        <f t="shared" si="35"/>
        <v>45.932868376713074</v>
      </c>
      <c r="AY221" s="31">
        <f t="shared" si="35"/>
        <v>45.932868376713095</v>
      </c>
      <c r="AZ221" s="30">
        <f t="shared" si="35"/>
        <v>44.144184931276534</v>
      </c>
      <c r="BA221" s="30">
        <f t="shared" si="35"/>
        <v>44.144184931276527</v>
      </c>
      <c r="BB221" s="30">
        <f t="shared" si="35"/>
        <v>44.144184931276413</v>
      </c>
      <c r="BC221" s="30">
        <f t="shared" si="40"/>
        <v>44.144184931276527</v>
      </c>
      <c r="BD221" s="30">
        <f t="shared" si="40"/>
        <v>45.734007107546518</v>
      </c>
      <c r="BE221" s="30">
        <f t="shared" si="40"/>
        <v>45.909952328527595</v>
      </c>
      <c r="BF221" s="30">
        <f t="shared" si="40"/>
        <v>45.909952328527623</v>
      </c>
      <c r="BG221" s="30">
        <f t="shared" si="40"/>
        <v>45.909952328527559</v>
      </c>
      <c r="BH221" s="30">
        <f t="shared" si="40"/>
        <v>45.909952328527559</v>
      </c>
      <c r="BI221" s="30">
        <f t="shared" si="33"/>
        <v>45.909952328527616</v>
      </c>
      <c r="BJ221" s="30">
        <f t="shared" si="33"/>
        <v>45.909952328527588</v>
      </c>
      <c r="BK221" s="30">
        <f t="shared" si="33"/>
        <v>45.909952328527616</v>
      </c>
      <c r="BL221" s="31">
        <f t="shared" si="33"/>
        <v>45.489209507070676</v>
      </c>
    </row>
    <row r="222" spans="2:64" ht="15" x14ac:dyDescent="0.4">
      <c r="B222" t="s">
        <v>350</v>
      </c>
      <c r="C222" s="26">
        <v>61081</v>
      </c>
      <c r="D222" t="s">
        <v>346</v>
      </c>
      <c r="E222" t="s">
        <v>351</v>
      </c>
      <c r="F222" t="s">
        <v>60</v>
      </c>
      <c r="G222" t="s">
        <v>33</v>
      </c>
      <c r="H222" t="s">
        <v>34</v>
      </c>
      <c r="J222" s="27">
        <v>1640.6732254473102</v>
      </c>
      <c r="K222" s="27">
        <v>1969.3768923164448</v>
      </c>
      <c r="L222" s="27">
        <v>1703.6586954669351</v>
      </c>
      <c r="M222" s="27">
        <v>1348.6377712879662</v>
      </c>
      <c r="N222" s="28">
        <f t="shared" si="36"/>
        <v>6662.3465845186565</v>
      </c>
      <c r="O222" s="27">
        <v>1253.2774570997926</v>
      </c>
      <c r="P222" s="27">
        <v>1090.7453669397571</v>
      </c>
      <c r="Q222" s="27">
        <v>2986.7465163902129</v>
      </c>
      <c r="R222" s="27">
        <v>2249.2797372090763</v>
      </c>
      <c r="S222" s="27">
        <v>2831.5015168116074</v>
      </c>
      <c r="T222" s="27">
        <v>5226.3451839105537</v>
      </c>
      <c r="U222" s="27">
        <v>3945.398782966286</v>
      </c>
      <c r="V222" s="27">
        <v>2626.4981160407187</v>
      </c>
      <c r="W222" s="27">
        <v>2656.1955783844664</v>
      </c>
      <c r="X222" s="27">
        <v>3188.3559214646752</v>
      </c>
      <c r="Y222" s="27">
        <v>2758.1669669423463</v>
      </c>
      <c r="Z222" s="27">
        <v>2183.3998564587546</v>
      </c>
      <c r="AA222" s="28">
        <f t="shared" si="37"/>
        <v>32995.911000618245</v>
      </c>
      <c r="AB222" s="29"/>
      <c r="AC222" s="27">
        <v>90815.342981682028</v>
      </c>
      <c r="AD222" s="27">
        <v>109009.90834854128</v>
      </c>
      <c r="AE222" s="27">
        <v>94301.745376732448</v>
      </c>
      <c r="AF222" s="27">
        <v>74650.454373189394</v>
      </c>
      <c r="AG222" s="28">
        <f t="shared" si="38"/>
        <v>368777.4510801452</v>
      </c>
      <c r="AH222" s="27">
        <v>68838.215739604959</v>
      </c>
      <c r="AI222" s="27">
        <v>59910.88761791632</v>
      </c>
      <c r="AJ222" s="27">
        <v>164051.70290908057</v>
      </c>
      <c r="AK222" s="27">
        <v>123545.19179418348</v>
      </c>
      <c r="AL222" s="27">
        <v>161284.67203584043</v>
      </c>
      <c r="AM222" s="27">
        <v>298547.75275182741</v>
      </c>
      <c r="AN222" s="27">
        <v>225375.45816731453</v>
      </c>
      <c r="AO222" s="27">
        <v>150035.07854108923</v>
      </c>
      <c r="AP222" s="27">
        <v>151731.50507496105</v>
      </c>
      <c r="AQ222" s="27">
        <v>182130.42993345289</v>
      </c>
      <c r="AR222" s="27">
        <v>157556.47985708184</v>
      </c>
      <c r="AS222" s="27">
        <v>124723.70223672916</v>
      </c>
      <c r="AT222" s="28">
        <f t="shared" si="39"/>
        <v>1867731.0766590822</v>
      </c>
      <c r="AU222" s="30">
        <f t="shared" si="35"/>
        <v>55.352486755503854</v>
      </c>
      <c r="AV222" s="30">
        <f t="shared" si="35"/>
        <v>55.352486755503818</v>
      </c>
      <c r="AW222" s="30">
        <f t="shared" si="35"/>
        <v>55.352486755503826</v>
      </c>
      <c r="AX222" s="30">
        <f t="shared" si="35"/>
        <v>55.352486755503861</v>
      </c>
      <c r="AY222" s="31">
        <f t="shared" si="35"/>
        <v>55.35248675550384</v>
      </c>
      <c r="AZ222" s="30">
        <f t="shared" si="35"/>
        <v>54.926557044202617</v>
      </c>
      <c r="BA222" s="30">
        <f t="shared" si="35"/>
        <v>54.926557044202653</v>
      </c>
      <c r="BB222" s="30">
        <f t="shared" si="35"/>
        <v>54.926557044202646</v>
      </c>
      <c r="BC222" s="30">
        <f t="shared" si="40"/>
        <v>54.926557044202653</v>
      </c>
      <c r="BD222" s="30">
        <f t="shared" si="40"/>
        <v>56.96082840790914</v>
      </c>
      <c r="BE222" s="30">
        <f t="shared" si="40"/>
        <v>57.123619325970814</v>
      </c>
      <c r="BF222" s="30">
        <f t="shared" si="40"/>
        <v>57.123619325970779</v>
      </c>
      <c r="BG222" s="30">
        <f t="shared" si="40"/>
        <v>57.123619325970694</v>
      </c>
      <c r="BH222" s="30">
        <f t="shared" si="40"/>
        <v>57.123619325970786</v>
      </c>
      <c r="BI222" s="30">
        <f t="shared" si="33"/>
        <v>57.123619325970779</v>
      </c>
      <c r="BJ222" s="30">
        <f t="shared" si="33"/>
        <v>57.123619325970715</v>
      </c>
      <c r="BK222" s="30">
        <f t="shared" si="33"/>
        <v>57.123619325970793</v>
      </c>
      <c r="BL222" s="31">
        <f t="shared" si="33"/>
        <v>56.604925277683243</v>
      </c>
    </row>
    <row r="223" spans="2:64" ht="15" x14ac:dyDescent="0.4">
      <c r="B223" t="s">
        <v>352</v>
      </c>
      <c r="C223" s="26">
        <v>61056</v>
      </c>
      <c r="D223" t="s">
        <v>346</v>
      </c>
      <c r="E223" t="s">
        <v>346</v>
      </c>
      <c r="F223" t="s">
        <v>60</v>
      </c>
      <c r="G223" t="s">
        <v>33</v>
      </c>
      <c r="H223" t="s">
        <v>34</v>
      </c>
      <c r="J223" s="27">
        <v>2167.3768201110283</v>
      </c>
      <c r="K223" s="27">
        <v>2601.6038783745194</v>
      </c>
      <c r="L223" s="27">
        <v>2250.582449121714</v>
      </c>
      <c r="M223" s="27">
        <v>1781.5895321987805</v>
      </c>
      <c r="N223" s="28">
        <f t="shared" si="36"/>
        <v>8801.1526798060422</v>
      </c>
      <c r="O223" s="27">
        <v>525.03924671993445</v>
      </c>
      <c r="P223" s="27">
        <v>456.9491955488898</v>
      </c>
      <c r="Q223" s="27">
        <v>1251.2465872782718</v>
      </c>
      <c r="R223" s="27">
        <v>942.29743956260336</v>
      </c>
      <c r="S223" s="27">
        <v>1186.2093386035772</v>
      </c>
      <c r="T223" s="27">
        <v>2189.4883075681632</v>
      </c>
      <c r="U223" s="27">
        <v>1652.8576280403195</v>
      </c>
      <c r="V223" s="27">
        <v>1100.3266551594413</v>
      </c>
      <c r="W223" s="27">
        <v>1112.767901245953</v>
      </c>
      <c r="X223" s="27">
        <v>1335.7074140268066</v>
      </c>
      <c r="Y223" s="27">
        <v>1155.487077859334</v>
      </c>
      <c r="Z223" s="27">
        <v>914.69818548905516</v>
      </c>
      <c r="AA223" s="28">
        <f t="shared" si="37"/>
        <v>13823.074977102347</v>
      </c>
      <c r="AB223" s="29"/>
      <c r="AC223" s="27">
        <v>99427.398533963671</v>
      </c>
      <c r="AD223" s="27">
        <v>119347.36186271383</v>
      </c>
      <c r="AE223" s="27">
        <v>103244.41787234097</v>
      </c>
      <c r="AF223" s="27">
        <v>81729.587028060851</v>
      </c>
      <c r="AG223" s="28">
        <f t="shared" si="38"/>
        <v>403748.76529707934</v>
      </c>
      <c r="AH223" s="27">
        <v>23698.035122282992</v>
      </c>
      <c r="AI223" s="27">
        <v>20624.740251070845</v>
      </c>
      <c r="AJ223" s="27">
        <v>56475.941098121744</v>
      </c>
      <c r="AK223" s="27">
        <v>42531.292580311536</v>
      </c>
      <c r="AL223" s="27">
        <v>55601.908400694112</v>
      </c>
      <c r="AM223" s="27">
        <v>102777.14281779352</v>
      </c>
      <c r="AN223" s="27">
        <v>77587.070872855402</v>
      </c>
      <c r="AO223" s="27">
        <v>51650.620554878784</v>
      </c>
      <c r="AP223" s="27">
        <v>52234.627202205877</v>
      </c>
      <c r="AQ223" s="27">
        <v>62699.66876721719</v>
      </c>
      <c r="AR223" s="27">
        <v>54239.915333079007</v>
      </c>
      <c r="AS223" s="27">
        <v>42937.003006698389</v>
      </c>
      <c r="AT223" s="28">
        <f t="shared" si="39"/>
        <v>643057.96600720938</v>
      </c>
      <c r="AU223" s="30">
        <f t="shared" si="35"/>
        <v>45.874532573837485</v>
      </c>
      <c r="AV223" s="30">
        <f t="shared" si="35"/>
        <v>45.874532573837492</v>
      </c>
      <c r="AW223" s="30">
        <f t="shared" si="35"/>
        <v>45.874532573837463</v>
      </c>
      <c r="AX223" s="30">
        <f t="shared" si="35"/>
        <v>45.874532573837492</v>
      </c>
      <c r="AY223" s="31">
        <f t="shared" si="35"/>
        <v>45.874532573837485</v>
      </c>
      <c r="AZ223" s="30">
        <f t="shared" si="35"/>
        <v>45.135740366708163</v>
      </c>
      <c r="BA223" s="30">
        <f t="shared" si="35"/>
        <v>45.135740366708156</v>
      </c>
      <c r="BB223" s="30">
        <f t="shared" si="35"/>
        <v>45.135740366708184</v>
      </c>
      <c r="BC223" s="30">
        <f t="shared" si="40"/>
        <v>45.135740366708156</v>
      </c>
      <c r="BD223" s="30">
        <f t="shared" si="40"/>
        <v>46.87360535042616</v>
      </c>
      <c r="BE223" s="30">
        <f t="shared" si="40"/>
        <v>46.941169981376504</v>
      </c>
      <c r="BF223" s="30">
        <f t="shared" si="40"/>
        <v>46.941169981376497</v>
      </c>
      <c r="BG223" s="30">
        <f t="shared" si="40"/>
        <v>46.941169981376504</v>
      </c>
      <c r="BH223" s="30">
        <f t="shared" si="40"/>
        <v>46.941169981376518</v>
      </c>
      <c r="BI223" s="30">
        <f t="shared" si="33"/>
        <v>46.941169981376518</v>
      </c>
      <c r="BJ223" s="30">
        <f t="shared" si="33"/>
        <v>46.94116998137649</v>
      </c>
      <c r="BK223" s="30">
        <f t="shared" si="33"/>
        <v>46.941169981376497</v>
      </c>
      <c r="BL223" s="31">
        <f t="shared" si="33"/>
        <v>46.520616221240374</v>
      </c>
    </row>
    <row r="224" spans="2:64" ht="15" x14ac:dyDescent="0.4">
      <c r="B224" t="s">
        <v>353</v>
      </c>
      <c r="C224" s="26">
        <v>61057</v>
      </c>
      <c r="D224" t="s">
        <v>346</v>
      </c>
      <c r="E224" t="s">
        <v>346</v>
      </c>
      <c r="F224" t="s">
        <v>60</v>
      </c>
      <c r="G224" t="s">
        <v>33</v>
      </c>
      <c r="H224" t="s">
        <v>34</v>
      </c>
      <c r="J224" s="27">
        <v>3409.0585506926936</v>
      </c>
      <c r="K224" s="27">
        <v>4092.0525977728198</v>
      </c>
      <c r="L224" s="27">
        <v>3539.9323601810274</v>
      </c>
      <c r="M224" s="27">
        <v>2802.2552295524283</v>
      </c>
      <c r="N224" s="28">
        <f t="shared" si="36"/>
        <v>13843.29873819897</v>
      </c>
      <c r="O224" s="27">
        <v>812.31721422005592</v>
      </c>
      <c r="P224" s="27">
        <v>706.97133573781753</v>
      </c>
      <c r="Q224" s="27">
        <v>1935.8726960508707</v>
      </c>
      <c r="R224" s="27">
        <v>1457.8804077107168</v>
      </c>
      <c r="S224" s="27">
        <v>1835.2499769036558</v>
      </c>
      <c r="T224" s="27">
        <v>3387.4782764951478</v>
      </c>
      <c r="U224" s="27">
        <v>2557.2273164338753</v>
      </c>
      <c r="V224" s="27">
        <v>1702.3761344225113</v>
      </c>
      <c r="W224" s="27">
        <v>1721.6246733185224</v>
      </c>
      <c r="X224" s="27">
        <v>2066.5467055153272</v>
      </c>
      <c r="Y224" s="27">
        <v>1787.7178706502384</v>
      </c>
      <c r="Z224" s="27">
        <v>1415.1800775475208</v>
      </c>
      <c r="AA224" s="28">
        <f t="shared" si="37"/>
        <v>21386.442685006259</v>
      </c>
      <c r="AB224" s="29"/>
      <c r="AC224" s="27">
        <v>153533.97486643004</v>
      </c>
      <c r="AD224" s="27">
        <v>184294.01881962465</v>
      </c>
      <c r="AE224" s="27">
        <v>159428.14649119508</v>
      </c>
      <c r="AF224" s="27">
        <v>126205.33721722187</v>
      </c>
      <c r="AG224" s="28">
        <f t="shared" si="38"/>
        <v>623461.47739447164</v>
      </c>
      <c r="AH224" s="27">
        <v>35806.595568857694</v>
      </c>
      <c r="AI224" s="27">
        <v>31162.994276619589</v>
      </c>
      <c r="AJ224" s="27">
        <v>85332.440931763776</v>
      </c>
      <c r="AK224" s="27">
        <v>64262.745184811021</v>
      </c>
      <c r="AL224" s="27">
        <v>84000.308053624831</v>
      </c>
      <c r="AM224" s="27">
        <v>155291.33818943106</v>
      </c>
      <c r="AN224" s="27">
        <v>117230.3464730875</v>
      </c>
      <c r="AO224" s="27">
        <v>78041.612798103684</v>
      </c>
      <c r="AP224" s="27">
        <v>78924.018859300893</v>
      </c>
      <c r="AQ224" s="27">
        <v>94736.195227345146</v>
      </c>
      <c r="AR224" s="27">
        <v>81953.913140860546</v>
      </c>
      <c r="AS224" s="27">
        <v>64875.754199302843</v>
      </c>
      <c r="AT224" s="28">
        <f t="shared" si="39"/>
        <v>971618.26290310849</v>
      </c>
      <c r="AU224" s="30">
        <f t="shared" si="35"/>
        <v>45.037060110109621</v>
      </c>
      <c r="AV224" s="30">
        <f t="shared" si="35"/>
        <v>45.037060110109607</v>
      </c>
      <c r="AW224" s="30">
        <f t="shared" si="35"/>
        <v>45.0370601101096</v>
      </c>
      <c r="AX224" s="30">
        <f t="shared" si="35"/>
        <v>45.037060110109664</v>
      </c>
      <c r="AY224" s="31">
        <f t="shared" si="35"/>
        <v>45.037060110109621</v>
      </c>
      <c r="AZ224" s="30">
        <f t="shared" si="35"/>
        <v>44.079572538958558</v>
      </c>
      <c r="BA224" s="30">
        <f t="shared" si="35"/>
        <v>44.079572538958608</v>
      </c>
      <c r="BB224" s="30">
        <f t="shared" si="35"/>
        <v>44.079572538958637</v>
      </c>
      <c r="BC224" s="30">
        <f t="shared" si="40"/>
        <v>44.079572538958558</v>
      </c>
      <c r="BD224" s="30">
        <f t="shared" si="40"/>
        <v>45.770499447353785</v>
      </c>
      <c r="BE224" s="30">
        <f t="shared" si="40"/>
        <v>45.842755440516989</v>
      </c>
      <c r="BF224" s="30">
        <f t="shared" si="40"/>
        <v>45.84275544051691</v>
      </c>
      <c r="BG224" s="30">
        <f t="shared" si="40"/>
        <v>45.842755440516882</v>
      </c>
      <c r="BH224" s="30">
        <f t="shared" si="40"/>
        <v>45.842755440516939</v>
      </c>
      <c r="BI224" s="30">
        <f t="shared" si="33"/>
        <v>45.842755440516953</v>
      </c>
      <c r="BJ224" s="30">
        <f t="shared" si="33"/>
        <v>45.842755440516925</v>
      </c>
      <c r="BK224" s="30">
        <f t="shared" si="33"/>
        <v>45.842755440516974</v>
      </c>
      <c r="BL224" s="31">
        <f t="shared" si="33"/>
        <v>45.431504304560981</v>
      </c>
    </row>
    <row r="225" spans="2:64" ht="15" x14ac:dyDescent="0.4">
      <c r="B225" t="s">
        <v>354</v>
      </c>
      <c r="C225" s="26">
        <v>61058</v>
      </c>
      <c r="D225" t="s">
        <v>346</v>
      </c>
      <c r="E225" t="s">
        <v>346</v>
      </c>
      <c r="F225" t="s">
        <v>60</v>
      </c>
      <c r="G225" t="s">
        <v>33</v>
      </c>
      <c r="H225" t="s">
        <v>76</v>
      </c>
      <c r="J225" s="27">
        <v>730.49617194592327</v>
      </c>
      <c r="K225" s="27">
        <v>876.84875857207885</v>
      </c>
      <c r="L225" s="27">
        <v>758.53993107108863</v>
      </c>
      <c r="M225" s="27">
        <v>600.46980348505804</v>
      </c>
      <c r="N225" s="28">
        <f t="shared" si="36"/>
        <v>2966.3546650741487</v>
      </c>
      <c r="O225" s="27">
        <v>388.64062734319117</v>
      </c>
      <c r="P225" s="27">
        <v>338.23951853415701</v>
      </c>
      <c r="Q225" s="27">
        <v>926.188397684199</v>
      </c>
      <c r="R225" s="27">
        <v>697.50036848357536</v>
      </c>
      <c r="S225" s="27">
        <v>878.04701152399218</v>
      </c>
      <c r="T225" s="27">
        <v>1620.6866719580132</v>
      </c>
      <c r="U225" s="27">
        <v>1223.4659208499486</v>
      </c>
      <c r="V225" s="27">
        <v>814.47557342643154</v>
      </c>
      <c r="W225" s="27">
        <v>823.6847396253396</v>
      </c>
      <c r="X225" s="27">
        <v>988.70735964474</v>
      </c>
      <c r="Y225" s="27">
        <v>855.30600927771081</v>
      </c>
      <c r="Z225" s="27">
        <v>677.07105489538719</v>
      </c>
      <c r="AA225" s="28">
        <f t="shared" si="37"/>
        <v>10232.013253246685</v>
      </c>
      <c r="AB225" s="29"/>
      <c r="AC225" s="27">
        <v>55747.574356773628</v>
      </c>
      <c r="AD225" s="27">
        <v>66916.423720506762</v>
      </c>
      <c r="AE225" s="27">
        <v>57887.724582214156</v>
      </c>
      <c r="AF225" s="27">
        <v>45824.654945978997</v>
      </c>
      <c r="AG225" s="28">
        <f t="shared" si="38"/>
        <v>226376.37760547356</v>
      </c>
      <c r="AH225" s="27">
        <v>29541.24848296888</v>
      </c>
      <c r="AI225" s="27">
        <v>25710.172742577892</v>
      </c>
      <c r="AJ225" s="27">
        <v>70401.18730013934</v>
      </c>
      <c r="AK225" s="27">
        <v>53018.213363834097</v>
      </c>
      <c r="AL225" s="27">
        <v>69080.372488764464</v>
      </c>
      <c r="AM225" s="27">
        <v>128118.85452457372</v>
      </c>
      <c r="AN225" s="27">
        <v>96717.678402188554</v>
      </c>
      <c r="AO225" s="27">
        <v>64386.089742794597</v>
      </c>
      <c r="AP225" s="27">
        <v>65114.09463414421</v>
      </c>
      <c r="AQ225" s="27">
        <v>78159.49656984747</v>
      </c>
      <c r="AR225" s="27">
        <v>67613.825715155588</v>
      </c>
      <c r="AS225" s="27">
        <v>53523.959619005866</v>
      </c>
      <c r="AT225" s="28">
        <f t="shared" si="39"/>
        <v>801385.19358599477</v>
      </c>
      <c r="AU225" s="30">
        <f t="shared" si="35"/>
        <v>76.314670080024015</v>
      </c>
      <c r="AV225" s="30">
        <f t="shared" si="35"/>
        <v>76.314670080023944</v>
      </c>
      <c r="AW225" s="30">
        <f t="shared" si="35"/>
        <v>76.314670080023845</v>
      </c>
      <c r="AX225" s="30">
        <f t="shared" si="35"/>
        <v>76.314670080023916</v>
      </c>
      <c r="AY225" s="31">
        <f t="shared" si="35"/>
        <v>76.314670080023944</v>
      </c>
      <c r="AZ225" s="30">
        <f t="shared" si="35"/>
        <v>76.011735275638912</v>
      </c>
      <c r="BA225" s="30">
        <f t="shared" si="35"/>
        <v>76.01173527563887</v>
      </c>
      <c r="BB225" s="30">
        <f t="shared" si="35"/>
        <v>76.011735275638728</v>
      </c>
      <c r="BC225" s="30">
        <f t="shared" si="40"/>
        <v>76.01173527563887</v>
      </c>
      <c r="BD225" s="30">
        <f t="shared" si="40"/>
        <v>78.675027170657231</v>
      </c>
      <c r="BE225" s="30">
        <f t="shared" si="40"/>
        <v>79.052204686664368</v>
      </c>
      <c r="BF225" s="30">
        <f t="shared" si="40"/>
        <v>79.052204686664453</v>
      </c>
      <c r="BG225" s="30">
        <f t="shared" si="40"/>
        <v>79.052204686664368</v>
      </c>
      <c r="BH225" s="30">
        <f t="shared" si="40"/>
        <v>79.052204686664396</v>
      </c>
      <c r="BI225" s="30">
        <f t="shared" si="33"/>
        <v>79.052204686664368</v>
      </c>
      <c r="BJ225" s="30">
        <f t="shared" si="33"/>
        <v>79.052204686664297</v>
      </c>
      <c r="BK225" s="30">
        <f t="shared" si="33"/>
        <v>79.052204686664297</v>
      </c>
      <c r="BL225" s="31">
        <f t="shared" si="33"/>
        <v>78.321360005247257</v>
      </c>
    </row>
    <row r="226" spans="2:64" ht="15" x14ac:dyDescent="0.4">
      <c r="B226" t="s">
        <v>355</v>
      </c>
      <c r="C226" s="26">
        <v>60837</v>
      </c>
      <c r="D226" t="s">
        <v>356</v>
      </c>
      <c r="E226" t="s">
        <v>356</v>
      </c>
      <c r="F226" t="s">
        <v>109</v>
      </c>
      <c r="G226" t="s">
        <v>33</v>
      </c>
      <c r="H226" t="s">
        <v>34</v>
      </c>
      <c r="J226" s="27">
        <v>6672.3118798432633</v>
      </c>
      <c r="K226" s="27">
        <v>5227.5301448354285</v>
      </c>
      <c r="L226" s="27">
        <v>8115.7972651561558</v>
      </c>
      <c r="M226" s="27">
        <v>4709.6384417079016</v>
      </c>
      <c r="N226" s="28">
        <f t="shared" si="36"/>
        <v>24725.277731542752</v>
      </c>
      <c r="O226" s="27">
        <v>4884.5685975859396</v>
      </c>
      <c r="P226" s="27">
        <v>5781.1511116902884</v>
      </c>
      <c r="Q226" s="27">
        <v>7344.6443714032275</v>
      </c>
      <c r="R226" s="27">
        <v>5254.9547594558671</v>
      </c>
      <c r="S226" s="27">
        <v>5752.0377889232186</v>
      </c>
      <c r="T226" s="27">
        <v>6140.2154258174678</v>
      </c>
      <c r="U226" s="27">
        <v>4342.1981771475903</v>
      </c>
      <c r="V226" s="27">
        <v>4862.4640377072346</v>
      </c>
      <c r="W226" s="27">
        <v>5549.8619363741345</v>
      </c>
      <c r="X226" s="27">
        <v>4348.1286688223627</v>
      </c>
      <c r="Y226" s="27">
        <v>6750.5169327123112</v>
      </c>
      <c r="Z226" s="27">
        <v>3917.3593189911076</v>
      </c>
      <c r="AA226" s="28">
        <f t="shared" si="37"/>
        <v>64928.101126630761</v>
      </c>
      <c r="AB226" s="29"/>
      <c r="AC226" s="27">
        <v>252027.97693863197</v>
      </c>
      <c r="AD226" s="27">
        <v>197455.37536526786</v>
      </c>
      <c r="AE226" s="27">
        <v>306551.61251686513</v>
      </c>
      <c r="AF226" s="27">
        <v>177893.46031048184</v>
      </c>
      <c r="AG226" s="28">
        <f t="shared" si="38"/>
        <v>933928.4251312468</v>
      </c>
      <c r="AH226" s="27">
        <v>185310.44458274299</v>
      </c>
      <c r="AI226" s="27">
        <v>219324.93347248944</v>
      </c>
      <c r="AJ226" s="27">
        <v>278640.63869213121</v>
      </c>
      <c r="AK226" s="27">
        <v>199362.13061236168</v>
      </c>
      <c r="AL226" s="27">
        <v>226700.87455246295</v>
      </c>
      <c r="AM226" s="27">
        <v>242264.97566081406</v>
      </c>
      <c r="AN226" s="27">
        <v>171323.39221812243</v>
      </c>
      <c r="AO226" s="27">
        <v>191850.71696240947</v>
      </c>
      <c r="AP226" s="27">
        <v>218972.31183180437</v>
      </c>
      <c r="AQ226" s="27">
        <v>171557.38244836818</v>
      </c>
      <c r="AR226" s="27">
        <v>266344.69753701397</v>
      </c>
      <c r="AS226" s="27">
        <v>154561.18299688064</v>
      </c>
      <c r="AT226" s="28">
        <f t="shared" si="39"/>
        <v>2526213.6815676014</v>
      </c>
      <c r="AU226" s="30">
        <f t="shared" si="35"/>
        <v>37.772211712704333</v>
      </c>
      <c r="AV226" s="30">
        <f t="shared" si="35"/>
        <v>37.772211712704355</v>
      </c>
      <c r="AW226" s="30">
        <f t="shared" si="35"/>
        <v>37.772211712704333</v>
      </c>
      <c r="AX226" s="30">
        <f t="shared" si="35"/>
        <v>37.772211712704348</v>
      </c>
      <c r="AY226" s="31">
        <f t="shared" si="35"/>
        <v>37.772211712704333</v>
      </c>
      <c r="AZ226" s="30">
        <f t="shared" si="35"/>
        <v>37.937934718396107</v>
      </c>
      <c r="BA226" s="30">
        <f t="shared" si="35"/>
        <v>37.937934718396143</v>
      </c>
      <c r="BB226" s="30">
        <f t="shared" si="35"/>
        <v>37.937934718396129</v>
      </c>
      <c r="BC226" s="30">
        <f t="shared" si="40"/>
        <v>37.937934718396122</v>
      </c>
      <c r="BD226" s="30">
        <f t="shared" si="40"/>
        <v>39.412271419534839</v>
      </c>
      <c r="BE226" s="30">
        <f t="shared" si="40"/>
        <v>39.455452107131975</v>
      </c>
      <c r="BF226" s="30">
        <f t="shared" si="40"/>
        <v>39.455452107131954</v>
      </c>
      <c r="BG226" s="30">
        <f t="shared" si="40"/>
        <v>39.455452107131997</v>
      </c>
      <c r="BH226" s="30">
        <f t="shared" si="40"/>
        <v>39.455452107131968</v>
      </c>
      <c r="BI226" s="30">
        <f t="shared" si="33"/>
        <v>39.455452107131961</v>
      </c>
      <c r="BJ226" s="30">
        <f t="shared" si="33"/>
        <v>39.455452107131968</v>
      </c>
      <c r="BK226" s="30">
        <f t="shared" si="33"/>
        <v>39.45545210713194</v>
      </c>
      <c r="BL226" s="31">
        <f t="shared" si="33"/>
        <v>38.907863278500457</v>
      </c>
    </row>
    <row r="227" spans="2:64" ht="15" x14ac:dyDescent="0.4">
      <c r="B227" t="s">
        <v>357</v>
      </c>
      <c r="C227" s="26">
        <v>61083</v>
      </c>
      <c r="D227" t="s">
        <v>358</v>
      </c>
      <c r="E227" t="s">
        <v>358</v>
      </c>
      <c r="F227" t="s">
        <v>244</v>
      </c>
      <c r="G227" t="s">
        <v>33</v>
      </c>
      <c r="H227" t="s">
        <v>76</v>
      </c>
      <c r="J227" s="27">
        <v>3665.7983849570492</v>
      </c>
      <c r="K227" s="27">
        <v>2195.9322711703712</v>
      </c>
      <c r="L227" s="27">
        <v>4513.7798588019741</v>
      </c>
      <c r="M227" s="27">
        <v>2070.2298600520344</v>
      </c>
      <c r="N227" s="28">
        <f t="shared" si="36"/>
        <v>12445.740374981429</v>
      </c>
      <c r="O227" s="27">
        <v>2072.6591797234801</v>
      </c>
      <c r="P227" s="27">
        <v>3002.1233190363196</v>
      </c>
      <c r="Q227" s="27">
        <v>3883.7387230589507</v>
      </c>
      <c r="R227" s="27">
        <v>2998.8482515968817</v>
      </c>
      <c r="S227" s="27">
        <v>3021.8392250217435</v>
      </c>
      <c r="T227" s="27">
        <v>3709.2431298856332</v>
      </c>
      <c r="U227" s="27">
        <v>1657.2496257050148</v>
      </c>
      <c r="V227" s="27">
        <v>2377.4042049632976</v>
      </c>
      <c r="W227" s="27">
        <v>3296.9776406090309</v>
      </c>
      <c r="X227" s="27">
        <v>1974.9966686794044</v>
      </c>
      <c r="Y227" s="27">
        <v>4059.6425952312325</v>
      </c>
      <c r="Z227" s="27">
        <v>1861.9413406699634</v>
      </c>
      <c r="AA227" s="28">
        <f t="shared" si="37"/>
        <v>33916.663904180947</v>
      </c>
      <c r="AB227" s="29"/>
      <c r="AC227" s="27">
        <v>55115.107735456586</v>
      </c>
      <c r="AD227" s="27">
        <v>33015.739273053019</v>
      </c>
      <c r="AE227" s="27">
        <v>67864.469642653188</v>
      </c>
      <c r="AF227" s="27">
        <v>31125.80938497627</v>
      </c>
      <c r="AG227" s="28">
        <f t="shared" si="38"/>
        <v>187121.12603613909</v>
      </c>
      <c r="AH227" s="27">
        <v>31103.451042179422</v>
      </c>
      <c r="AI227" s="27">
        <v>45051.495484505598</v>
      </c>
      <c r="AJ227" s="27">
        <v>58281.495778479431</v>
      </c>
      <c r="AK227" s="27">
        <v>45002.34804108653</v>
      </c>
      <c r="AL227" s="27">
        <v>45889.974259965973</v>
      </c>
      <c r="AM227" s="27">
        <v>57889.436792836983</v>
      </c>
      <c r="AN227" s="27">
        <v>25864.372891663537</v>
      </c>
      <c r="AO227" s="27">
        <v>37103.685478414824</v>
      </c>
      <c r="AP227" s="27">
        <v>51455.28940814345</v>
      </c>
      <c r="AQ227" s="27">
        <v>30823.389250600343</v>
      </c>
      <c r="AR227" s="27">
        <v>63358.053163097182</v>
      </c>
      <c r="AS227" s="27">
        <v>29058.956713901724</v>
      </c>
      <c r="AT227" s="28">
        <f t="shared" si="39"/>
        <v>520881.94830487494</v>
      </c>
      <c r="AU227" s="30">
        <f t="shared" si="35"/>
        <v>15.034953357398663</v>
      </c>
      <c r="AV227" s="30">
        <f t="shared" si="35"/>
        <v>15.034953357398651</v>
      </c>
      <c r="AW227" s="30">
        <f t="shared" si="35"/>
        <v>15.03495335739866</v>
      </c>
      <c r="AX227" s="30">
        <f t="shared" si="35"/>
        <v>15.034953357398649</v>
      </c>
      <c r="AY227" s="31">
        <f t="shared" si="35"/>
        <v>15.03495335739866</v>
      </c>
      <c r="AZ227" s="30">
        <f t="shared" si="35"/>
        <v>15.006543934699883</v>
      </c>
      <c r="BA227" s="30">
        <f t="shared" si="35"/>
        <v>15.006543934699895</v>
      </c>
      <c r="BB227" s="30">
        <f t="shared" si="35"/>
        <v>15.0065439346999</v>
      </c>
      <c r="BC227" s="30">
        <f t="shared" si="40"/>
        <v>15.006543934699883</v>
      </c>
      <c r="BD227" s="30">
        <f t="shared" si="40"/>
        <v>15.18610714957404</v>
      </c>
      <c r="BE227" s="30">
        <f t="shared" si="40"/>
        <v>15.606805692087885</v>
      </c>
      <c r="BF227" s="30">
        <f t="shared" si="40"/>
        <v>15.606805692087883</v>
      </c>
      <c r="BG227" s="30">
        <f t="shared" si="40"/>
        <v>15.606805692087867</v>
      </c>
      <c r="BH227" s="30">
        <f t="shared" si="40"/>
        <v>15.606805692087867</v>
      </c>
      <c r="BI227" s="30">
        <f t="shared" si="33"/>
        <v>15.606805692087887</v>
      </c>
      <c r="BJ227" s="30">
        <f t="shared" si="33"/>
        <v>15.606805692087873</v>
      </c>
      <c r="BK227" s="30">
        <f t="shared" si="33"/>
        <v>15.60680569208788</v>
      </c>
      <c r="BL227" s="31">
        <f t="shared" si="33"/>
        <v>15.35769997239219</v>
      </c>
    </row>
    <row r="228" spans="2:64" ht="15" x14ac:dyDescent="0.4">
      <c r="B228" t="s">
        <v>359</v>
      </c>
      <c r="C228" s="26">
        <v>60971</v>
      </c>
      <c r="D228" t="s">
        <v>358</v>
      </c>
      <c r="E228" t="s">
        <v>358</v>
      </c>
      <c r="F228" t="s">
        <v>244</v>
      </c>
      <c r="G228" t="s">
        <v>33</v>
      </c>
      <c r="H228" t="s">
        <v>34</v>
      </c>
      <c r="J228" s="27">
        <v>40730.107770385715</v>
      </c>
      <c r="K228" s="27">
        <v>24398.657173363557</v>
      </c>
      <c r="L228" s="27">
        <v>50151.896202266129</v>
      </c>
      <c r="M228" s="27">
        <v>23001.997506302509</v>
      </c>
      <c r="N228" s="28">
        <f t="shared" si="36"/>
        <v>138282.65865231791</v>
      </c>
      <c r="O228" s="27">
        <v>25516.301183130759</v>
      </c>
      <c r="P228" s="27">
        <v>36958.841833152139</v>
      </c>
      <c r="Q228" s="27">
        <v>47812.321458167069</v>
      </c>
      <c r="R228" s="27">
        <v>36918.522803377564</v>
      </c>
      <c r="S228" s="27">
        <v>37201.562392394997</v>
      </c>
      <c r="T228" s="27">
        <v>45664.123551778321</v>
      </c>
      <c r="U228" s="27">
        <v>20402.235446525054</v>
      </c>
      <c r="V228" s="27">
        <v>29267.986903654008</v>
      </c>
      <c r="W228" s="27">
        <v>40588.764083756156</v>
      </c>
      <c r="X228" s="27">
        <v>24313.987715253283</v>
      </c>
      <c r="Y228" s="27">
        <v>49977.85654735897</v>
      </c>
      <c r="Z228" s="27">
        <v>22922.174807435291</v>
      </c>
      <c r="AA228" s="28">
        <f t="shared" si="37"/>
        <v>417544.67872598354</v>
      </c>
      <c r="AB228" s="29"/>
      <c r="AC228" s="27">
        <v>1187055.5091465844</v>
      </c>
      <c r="AD228" s="27">
        <v>711084.7969441989</v>
      </c>
      <c r="AE228" s="27">
        <v>1461648.1011212377</v>
      </c>
      <c r="AF228" s="27">
        <v>670379.95615334995</v>
      </c>
      <c r="AG228" s="28">
        <f t="shared" si="38"/>
        <v>4030168.3633653708</v>
      </c>
      <c r="AH228" s="27">
        <v>738886.24491026159</v>
      </c>
      <c r="AI228" s="27">
        <v>1070232.6980049943</v>
      </c>
      <c r="AJ228" s="27">
        <v>1384521.463715252</v>
      </c>
      <c r="AK228" s="27">
        <v>1069065.1629341871</v>
      </c>
      <c r="AL228" s="27">
        <v>1091414.9758940712</v>
      </c>
      <c r="AM228" s="27">
        <v>1375207.8029484178</v>
      </c>
      <c r="AN228" s="27">
        <v>614427.94039040257</v>
      </c>
      <c r="AO228" s="27">
        <v>881426.39857870736</v>
      </c>
      <c r="AP228" s="27">
        <v>1222359.7156468413</v>
      </c>
      <c r="AQ228" s="27">
        <v>732233.16306278168</v>
      </c>
      <c r="AR228" s="27">
        <v>1505118.9632629699</v>
      </c>
      <c r="AS228" s="27">
        <v>690317.71999279037</v>
      </c>
      <c r="AT228" s="28">
        <f t="shared" si="39"/>
        <v>12375212.249341676</v>
      </c>
      <c r="AU228" s="30">
        <f t="shared" si="35"/>
        <v>29.144423477555236</v>
      </c>
      <c r="AV228" s="30">
        <f t="shared" si="35"/>
        <v>29.144423477555261</v>
      </c>
      <c r="AW228" s="30">
        <f t="shared" si="35"/>
        <v>29.144423477555225</v>
      </c>
      <c r="AX228" s="30">
        <f t="shared" ref="AX228:BB268" si="41">IFERROR(AF228/M228,0)</f>
        <v>29.144423477555243</v>
      </c>
      <c r="AY228" s="31">
        <f t="shared" si="41"/>
        <v>29.144423477555236</v>
      </c>
      <c r="AZ228" s="30">
        <f t="shared" si="41"/>
        <v>28.957419792440422</v>
      </c>
      <c r="BA228" s="30">
        <f t="shared" si="41"/>
        <v>28.957419792440408</v>
      </c>
      <c r="BB228" s="30">
        <f t="shared" si="41"/>
        <v>28.957419792440444</v>
      </c>
      <c r="BC228" s="30">
        <f t="shared" si="40"/>
        <v>28.957419792440383</v>
      </c>
      <c r="BD228" s="30">
        <f t="shared" si="40"/>
        <v>29.337880070251721</v>
      </c>
      <c r="BE228" s="30">
        <f t="shared" si="40"/>
        <v>30.115716584138017</v>
      </c>
      <c r="BF228" s="30">
        <f t="shared" si="40"/>
        <v>30.115716584137992</v>
      </c>
      <c r="BG228" s="30">
        <f t="shared" si="40"/>
        <v>30.115716584138021</v>
      </c>
      <c r="BH228" s="30">
        <f t="shared" si="40"/>
        <v>30.115716584138031</v>
      </c>
      <c r="BI228" s="30">
        <f t="shared" si="33"/>
        <v>30.115716584138031</v>
      </c>
      <c r="BJ228" s="30">
        <f t="shared" si="33"/>
        <v>30.115716584138028</v>
      </c>
      <c r="BK228" s="30">
        <f t="shared" si="33"/>
        <v>30.115716584138049</v>
      </c>
      <c r="BL228" s="31">
        <f t="shared" si="33"/>
        <v>29.638055230642735</v>
      </c>
    </row>
    <row r="229" spans="2:64" ht="15" x14ac:dyDescent="0.4">
      <c r="B229" t="s">
        <v>360</v>
      </c>
      <c r="C229" s="26">
        <v>53621</v>
      </c>
      <c r="D229" t="s">
        <v>361</v>
      </c>
      <c r="E229" t="s">
        <v>361</v>
      </c>
      <c r="F229" t="s">
        <v>32</v>
      </c>
      <c r="G229" t="s">
        <v>33</v>
      </c>
      <c r="H229" t="s">
        <v>34</v>
      </c>
      <c r="J229" s="27">
        <v>5504.6384368234812</v>
      </c>
      <c r="K229" s="27">
        <v>10134.801712318371</v>
      </c>
      <c r="L229" s="27">
        <v>14542.717150589491</v>
      </c>
      <c r="M229" s="27">
        <v>8144.081782951539</v>
      </c>
      <c r="N229" s="28">
        <f t="shared" si="36"/>
        <v>38326.239082682878</v>
      </c>
      <c r="O229" s="27">
        <v>10824.178505375172</v>
      </c>
      <c r="P229" s="27">
        <v>8916.0835462394643</v>
      </c>
      <c r="Q229" s="27">
        <v>14621.510969804423</v>
      </c>
      <c r="R229" s="27">
        <v>12751.130918352967</v>
      </c>
      <c r="S229" s="27">
        <v>8270.7395703092498</v>
      </c>
      <c r="T229" s="27">
        <v>8362.9315668707077</v>
      </c>
      <c r="U229" s="27">
        <v>6756.5558692088898</v>
      </c>
      <c r="V229" s="27">
        <v>6991.2264059107874</v>
      </c>
      <c r="W229" s="27">
        <v>7680.571107472625</v>
      </c>
      <c r="X229" s="27">
        <v>14140.995108938638</v>
      </c>
      <c r="Y229" s="27">
        <v>20291.318758334284</v>
      </c>
      <c r="Z229" s="27">
        <v>11363.36200041644</v>
      </c>
      <c r="AA229" s="28">
        <f t="shared" si="37"/>
        <v>130970.60432723364</v>
      </c>
      <c r="AB229" s="29"/>
      <c r="AC229" s="27">
        <v>243790.54359945294</v>
      </c>
      <c r="AD229" s="27">
        <v>448852.15388361615</v>
      </c>
      <c r="AE229" s="27">
        <v>644070.80687413935</v>
      </c>
      <c r="AF229" s="27">
        <v>360686.74587279238</v>
      </c>
      <c r="AG229" s="28">
        <f t="shared" si="38"/>
        <v>1697400.2502300008</v>
      </c>
      <c r="AH229" s="27">
        <v>476441.47648840677</v>
      </c>
      <c r="AI229" s="27">
        <v>392453.98689192149</v>
      </c>
      <c r="AJ229" s="27">
        <v>643586.41826589208</v>
      </c>
      <c r="AK229" s="27">
        <v>561259.00350037671</v>
      </c>
      <c r="AL229" s="27">
        <v>376828.57237338083</v>
      </c>
      <c r="AM229" s="27">
        <v>382830.47161253513</v>
      </c>
      <c r="AN229" s="27">
        <v>309295.30502586154</v>
      </c>
      <c r="AO229" s="27">
        <v>320037.83370982774</v>
      </c>
      <c r="AP229" s="27">
        <v>351594.01171897852</v>
      </c>
      <c r="AQ229" s="27">
        <v>647333.26864364464</v>
      </c>
      <c r="AR229" s="27">
        <v>928877.04123592633</v>
      </c>
      <c r="AS229" s="27">
        <v>520181.37407181773</v>
      </c>
      <c r="AT229" s="28">
        <f t="shared" si="39"/>
        <v>5910718.7635385701</v>
      </c>
      <c r="AU229" s="30">
        <f t="shared" ref="AU229:AW268" si="42">IFERROR(AC229/J229,0)</f>
        <v>44.288202830654079</v>
      </c>
      <c r="AV229" s="30">
        <f t="shared" si="42"/>
        <v>44.288202830654065</v>
      </c>
      <c r="AW229" s="30">
        <f t="shared" si="42"/>
        <v>44.288202830654093</v>
      </c>
      <c r="AX229" s="30">
        <f t="shared" si="41"/>
        <v>44.288202830654043</v>
      </c>
      <c r="AY229" s="31">
        <f t="shared" si="41"/>
        <v>44.288202830654079</v>
      </c>
      <c r="AZ229" s="30">
        <f t="shared" si="41"/>
        <v>44.016409767430481</v>
      </c>
      <c r="BA229" s="30">
        <f t="shared" si="41"/>
        <v>44.016409767430538</v>
      </c>
      <c r="BB229" s="30">
        <f t="shared" si="41"/>
        <v>44.016409767430531</v>
      </c>
      <c r="BC229" s="30">
        <f t="shared" si="40"/>
        <v>44.01640976743051</v>
      </c>
      <c r="BD229" s="30">
        <f t="shared" si="40"/>
        <v>45.5616537275748</v>
      </c>
      <c r="BE229" s="30">
        <f t="shared" si="40"/>
        <v>45.777066158127724</v>
      </c>
      <c r="BF229" s="30">
        <f t="shared" si="40"/>
        <v>45.777066158127724</v>
      </c>
      <c r="BG229" s="30">
        <f t="shared" si="40"/>
        <v>45.777066158127738</v>
      </c>
      <c r="BH229" s="30">
        <f t="shared" si="40"/>
        <v>45.777066158127703</v>
      </c>
      <c r="BI229" s="30">
        <f t="shared" si="33"/>
        <v>45.777066158127731</v>
      </c>
      <c r="BJ229" s="30">
        <f t="shared" si="33"/>
        <v>45.77706615812771</v>
      </c>
      <c r="BK229" s="30">
        <f t="shared" si="33"/>
        <v>45.777066158127703</v>
      </c>
      <c r="BL229" s="31">
        <f t="shared" si="33"/>
        <v>45.130117509196779</v>
      </c>
    </row>
    <row r="230" spans="2:64" ht="15" x14ac:dyDescent="0.4">
      <c r="B230" t="s">
        <v>362</v>
      </c>
      <c r="C230" s="26">
        <v>53263</v>
      </c>
      <c r="D230" t="s">
        <v>363</v>
      </c>
      <c r="E230" t="s">
        <v>363</v>
      </c>
      <c r="F230" t="s">
        <v>32</v>
      </c>
      <c r="G230" t="s">
        <v>33</v>
      </c>
      <c r="H230" t="s">
        <v>34</v>
      </c>
      <c r="J230" s="27">
        <v>12653.512085112512</v>
      </c>
      <c r="K230" s="27">
        <v>6416.2643468733404</v>
      </c>
      <c r="L230" s="27">
        <v>7238.8005874228347</v>
      </c>
      <c r="M230" s="27">
        <v>7938.9744683584349</v>
      </c>
      <c r="N230" s="28">
        <f t="shared" si="36"/>
        <v>34247.551487767123</v>
      </c>
      <c r="O230" s="27">
        <v>6722.911638247534</v>
      </c>
      <c r="P230" s="27">
        <v>7237.8118965393378</v>
      </c>
      <c r="Q230" s="27">
        <v>13219.667733550052</v>
      </c>
      <c r="R230" s="27">
        <v>8565.5368737553017</v>
      </c>
      <c r="S230" s="27">
        <v>15866.772464995089</v>
      </c>
      <c r="T230" s="27">
        <v>5118.9597801651416</v>
      </c>
      <c r="U230" s="27">
        <v>6118.7174939958959</v>
      </c>
      <c r="V230" s="27">
        <v>6013.5676843609408</v>
      </c>
      <c r="W230" s="27">
        <v>8199.1815846303416</v>
      </c>
      <c r="X230" s="27">
        <v>4157.5900920741342</v>
      </c>
      <c r="Y230" s="27">
        <v>4690.5744485785453</v>
      </c>
      <c r="Z230" s="27">
        <v>5144.2708414844146</v>
      </c>
      <c r="AA230" s="28">
        <f t="shared" si="37"/>
        <v>91055.562532376716</v>
      </c>
      <c r="AB230" s="29"/>
      <c r="AC230" s="27">
        <v>372018.56909632724</v>
      </c>
      <c r="AD230" s="27">
        <v>188640.86628375595</v>
      </c>
      <c r="AE230" s="27">
        <v>212823.77717686052</v>
      </c>
      <c r="AF230" s="27">
        <v>233409.18331171127</v>
      </c>
      <c r="AG230" s="28">
        <f t="shared" si="38"/>
        <v>1006892.3958686549</v>
      </c>
      <c r="AH230" s="27">
        <v>190549.52190685191</v>
      </c>
      <c r="AI230" s="27">
        <v>205143.49596550723</v>
      </c>
      <c r="AJ230" s="27">
        <v>374689.04872473195</v>
      </c>
      <c r="AK230" s="27">
        <v>242775.60735500589</v>
      </c>
      <c r="AL230" s="27">
        <v>467359.56727594498</v>
      </c>
      <c r="AM230" s="27">
        <v>150891.75745676449</v>
      </c>
      <c r="AN230" s="27">
        <v>180361.65074551632</v>
      </c>
      <c r="AO230" s="27">
        <v>177262.14610913675</v>
      </c>
      <c r="AP230" s="27">
        <v>241687.56390816945</v>
      </c>
      <c r="AQ230" s="27">
        <v>122553.42935272267</v>
      </c>
      <c r="AR230" s="27">
        <v>138264.22797269523</v>
      </c>
      <c r="AS230" s="27">
        <v>151637.85250137871</v>
      </c>
      <c r="AT230" s="28">
        <f t="shared" si="39"/>
        <v>2643175.8692744258</v>
      </c>
      <c r="AU230" s="30">
        <f t="shared" si="42"/>
        <v>29.400419946176495</v>
      </c>
      <c r="AV230" s="30">
        <f t="shared" si="42"/>
        <v>29.400419946176477</v>
      </c>
      <c r="AW230" s="30">
        <f t="shared" si="42"/>
        <v>29.400419946176505</v>
      </c>
      <c r="AX230" s="30">
        <f t="shared" si="41"/>
        <v>29.400419946176495</v>
      </c>
      <c r="AY230" s="31">
        <f t="shared" si="41"/>
        <v>29.400419946176491</v>
      </c>
      <c r="AZ230" s="30">
        <f t="shared" si="41"/>
        <v>28.343303044887644</v>
      </c>
      <c r="BA230" s="30">
        <f t="shared" si="41"/>
        <v>28.343303044887616</v>
      </c>
      <c r="BB230" s="30">
        <f t="shared" si="41"/>
        <v>28.34330304488763</v>
      </c>
      <c r="BC230" s="30">
        <f t="shared" si="40"/>
        <v>28.343303044887627</v>
      </c>
      <c r="BD230" s="30">
        <f t="shared" si="40"/>
        <v>29.455238505942088</v>
      </c>
      <c r="BE230" s="30">
        <f t="shared" si="40"/>
        <v>29.477035166683144</v>
      </c>
      <c r="BF230" s="30">
        <f t="shared" si="40"/>
        <v>29.477035166683134</v>
      </c>
      <c r="BG230" s="30">
        <f t="shared" si="40"/>
        <v>29.477035166683141</v>
      </c>
      <c r="BH230" s="30">
        <f t="shared" si="40"/>
        <v>29.477035166683148</v>
      </c>
      <c r="BI230" s="30">
        <f t="shared" si="33"/>
        <v>29.477035166683144</v>
      </c>
      <c r="BJ230" s="30">
        <f t="shared" si="33"/>
        <v>29.477035166683155</v>
      </c>
      <c r="BK230" s="30">
        <f t="shared" si="33"/>
        <v>29.47703516668313</v>
      </c>
      <c r="BL230" s="31">
        <f t="shared" si="33"/>
        <v>29.028164735510686</v>
      </c>
    </row>
    <row r="231" spans="2:64" ht="15" x14ac:dyDescent="0.4">
      <c r="B231" t="s">
        <v>364</v>
      </c>
      <c r="C231" s="26">
        <v>53671</v>
      </c>
      <c r="D231" t="s">
        <v>365</v>
      </c>
      <c r="E231" t="s">
        <v>365</v>
      </c>
      <c r="F231" t="s">
        <v>53</v>
      </c>
      <c r="G231" t="s">
        <v>33</v>
      </c>
      <c r="H231" t="s">
        <v>34</v>
      </c>
      <c r="J231" s="27">
        <v>2711.6244227202992</v>
      </c>
      <c r="K231" s="27">
        <v>2688.0723866225535</v>
      </c>
      <c r="L231" s="27">
        <v>3628.5836947924781</v>
      </c>
      <c r="M231" s="27">
        <v>1595.2579116872166</v>
      </c>
      <c r="N231" s="28">
        <f t="shared" si="36"/>
        <v>10623.538415822548</v>
      </c>
      <c r="O231" s="27">
        <v>1808.8569296199828</v>
      </c>
      <c r="P231" s="27">
        <v>3396.128885361517</v>
      </c>
      <c r="Q231" s="27">
        <v>5138.8494834922694</v>
      </c>
      <c r="R231" s="27">
        <v>3722.2884004836205</v>
      </c>
      <c r="S231" s="27">
        <v>3795.7732132494316</v>
      </c>
      <c r="T231" s="27">
        <v>1431.8233133523174</v>
      </c>
      <c r="U231" s="27">
        <v>2995.9192896830959</v>
      </c>
      <c r="V231" s="27">
        <v>2579.8821958704993</v>
      </c>
      <c r="W231" s="27">
        <v>1952.4349484085694</v>
      </c>
      <c r="X231" s="27">
        <v>1935.4769146933811</v>
      </c>
      <c r="Y231" s="27">
        <v>2612.6677277198623</v>
      </c>
      <c r="Z231" s="27">
        <v>1148.624150308689</v>
      </c>
      <c r="AA231" s="28">
        <f t="shared" si="37"/>
        <v>32518.725452243234</v>
      </c>
      <c r="AB231" s="29"/>
      <c r="AC231" s="27">
        <v>31735.596408718753</v>
      </c>
      <c r="AD231" s="27">
        <v>31459.954285886801</v>
      </c>
      <c r="AE231" s="27">
        <v>42467.263057642769</v>
      </c>
      <c r="AF231" s="27">
        <v>18670.159786484222</v>
      </c>
      <c r="AG231" s="28">
        <f t="shared" si="38"/>
        <v>124332.97353873255</v>
      </c>
      <c r="AH231" s="27">
        <v>21816.696700783745</v>
      </c>
      <c r="AI231" s="27">
        <v>40960.848055721464</v>
      </c>
      <c r="AJ231" s="27">
        <v>61979.871783382841</v>
      </c>
      <c r="AK231" s="27">
        <v>44894.671179581528</v>
      </c>
      <c r="AL231" s="27">
        <v>47610.698929507518</v>
      </c>
      <c r="AM231" s="27">
        <v>17960.050141502696</v>
      </c>
      <c r="AN231" s="27">
        <v>37579.260067099996</v>
      </c>
      <c r="AO231" s="27">
        <v>32360.70621627252</v>
      </c>
      <c r="AP231" s="27">
        <v>24490.332881464794</v>
      </c>
      <c r="AQ231" s="27">
        <v>24277.620088632153</v>
      </c>
      <c r="AR231" s="27">
        <v>32771.950949082297</v>
      </c>
      <c r="AS231" s="27">
        <v>14407.746501197582</v>
      </c>
      <c r="AT231" s="28">
        <f t="shared" si="39"/>
        <v>401110.45349422912</v>
      </c>
      <c r="AU231" s="30">
        <f t="shared" si="42"/>
        <v>11.703536869933348</v>
      </c>
      <c r="AV231" s="30">
        <f t="shared" si="42"/>
        <v>11.703536869933354</v>
      </c>
      <c r="AW231" s="30">
        <f t="shared" si="42"/>
        <v>11.703536869933355</v>
      </c>
      <c r="AX231" s="30">
        <f t="shared" si="41"/>
        <v>11.703536869933352</v>
      </c>
      <c r="AY231" s="31">
        <f t="shared" si="41"/>
        <v>11.703536869933352</v>
      </c>
      <c r="AZ231" s="30">
        <f t="shared" si="41"/>
        <v>12.061040507701815</v>
      </c>
      <c r="BA231" s="30">
        <f t="shared" si="41"/>
        <v>12.061040507701813</v>
      </c>
      <c r="BB231" s="30">
        <f t="shared" si="41"/>
        <v>12.06104050770182</v>
      </c>
      <c r="BC231" s="30">
        <f t="shared" si="40"/>
        <v>12.061040507701811</v>
      </c>
      <c r="BD231" s="30">
        <f t="shared" si="40"/>
        <v>12.543083122911241</v>
      </c>
      <c r="BE231" s="30">
        <f t="shared" si="40"/>
        <v>12.543482128009888</v>
      </c>
      <c r="BF231" s="30">
        <f t="shared" si="40"/>
        <v>12.54348212800989</v>
      </c>
      <c r="BG231" s="30">
        <f t="shared" si="40"/>
        <v>12.54348212800989</v>
      </c>
      <c r="BH231" s="30">
        <f t="shared" si="40"/>
        <v>12.543482128009886</v>
      </c>
      <c r="BI231" s="30">
        <f t="shared" si="33"/>
        <v>12.543482128009892</v>
      </c>
      <c r="BJ231" s="30">
        <f t="shared" si="33"/>
        <v>12.543482128009888</v>
      </c>
      <c r="BK231" s="30">
        <f t="shared" si="33"/>
        <v>12.543482128009886</v>
      </c>
      <c r="BL231" s="31">
        <f t="shared" si="33"/>
        <v>12.334753220365203</v>
      </c>
    </row>
    <row r="232" spans="2:64" ht="15" x14ac:dyDescent="0.4">
      <c r="B232" t="s">
        <v>366</v>
      </c>
      <c r="C232" s="26">
        <v>53022</v>
      </c>
      <c r="D232" t="s">
        <v>367</v>
      </c>
      <c r="E232" t="s">
        <v>367</v>
      </c>
      <c r="F232" t="s">
        <v>53</v>
      </c>
      <c r="G232" t="s">
        <v>33</v>
      </c>
      <c r="H232" t="s">
        <v>34</v>
      </c>
      <c r="J232" s="27">
        <v>8593.7199930810675</v>
      </c>
      <c r="K232" s="27">
        <v>7023.9442778678176</v>
      </c>
      <c r="L232" s="27">
        <v>5939.4862597649153</v>
      </c>
      <c r="M232" s="27">
        <v>8606.3737325010643</v>
      </c>
      <c r="N232" s="28">
        <f t="shared" si="36"/>
        <v>30163.524263214866</v>
      </c>
      <c r="O232" s="27">
        <v>5959.0834709884721</v>
      </c>
      <c r="P232" s="27">
        <v>3135.6974071759255</v>
      </c>
      <c r="Q232" s="27">
        <v>7623.5999713317633</v>
      </c>
      <c r="R232" s="27">
        <v>4026.8715334765625</v>
      </c>
      <c r="S232" s="27">
        <v>6949.9341077186</v>
      </c>
      <c r="T232" s="27">
        <v>1787.8280010800672</v>
      </c>
      <c r="U232" s="27">
        <v>1612.2243702878359</v>
      </c>
      <c r="V232" s="27">
        <v>5530.9766910857252</v>
      </c>
      <c r="W232" s="27">
        <v>4832.5661594983812</v>
      </c>
      <c r="X232" s="27">
        <v>3949.8232954709783</v>
      </c>
      <c r="Y232" s="27">
        <v>3339.992497644178</v>
      </c>
      <c r="Z232" s="27">
        <v>4839.6818245376689</v>
      </c>
      <c r="AA232" s="28">
        <f t="shared" si="37"/>
        <v>53588.279330296165</v>
      </c>
      <c r="AB232" s="29"/>
      <c r="AC232" s="27">
        <v>166525.9473333144</v>
      </c>
      <c r="AD232" s="27">
        <v>136107.41050791377</v>
      </c>
      <c r="AE232" s="27">
        <v>115093.18163459812</v>
      </c>
      <c r="AF232" s="27">
        <v>166771.14684480886</v>
      </c>
      <c r="AG232" s="28">
        <f t="shared" si="38"/>
        <v>584497.68632063514</v>
      </c>
      <c r="AH232" s="27">
        <v>116626.36608587641</v>
      </c>
      <c r="AI232" s="27">
        <v>61369.33565778214</v>
      </c>
      <c r="AJ232" s="27">
        <v>149202.93791443272</v>
      </c>
      <c r="AK232" s="27">
        <v>78810.675489016081</v>
      </c>
      <c r="AL232" s="27">
        <v>141457.38390730575</v>
      </c>
      <c r="AM232" s="27">
        <v>36389.521866300747</v>
      </c>
      <c r="AN232" s="27">
        <v>32815.278617702308</v>
      </c>
      <c r="AO232" s="27">
        <v>112577.71839386805</v>
      </c>
      <c r="AP232" s="27">
        <v>98362.242802536712</v>
      </c>
      <c r="AQ232" s="27">
        <v>80394.859623931072</v>
      </c>
      <c r="AR232" s="27">
        <v>67982.339438065508</v>
      </c>
      <c r="AS232" s="27">
        <v>98507.075330265347</v>
      </c>
      <c r="AT232" s="28">
        <f t="shared" si="39"/>
        <v>1074495.735127083</v>
      </c>
      <c r="AU232" s="30">
        <f t="shared" si="42"/>
        <v>19.377632441758276</v>
      </c>
      <c r="AV232" s="30">
        <f t="shared" si="42"/>
        <v>19.377632441758266</v>
      </c>
      <c r="AW232" s="30">
        <f t="shared" si="42"/>
        <v>19.377632441758273</v>
      </c>
      <c r="AX232" s="30">
        <f t="shared" si="41"/>
        <v>19.377632441758273</v>
      </c>
      <c r="AY232" s="31">
        <f t="shared" si="41"/>
        <v>19.377632441758273</v>
      </c>
      <c r="AZ232" s="30">
        <f t="shared" si="41"/>
        <v>19.571191887756999</v>
      </c>
      <c r="BA232" s="30">
        <f t="shared" si="41"/>
        <v>19.571191887757003</v>
      </c>
      <c r="BB232" s="30">
        <f t="shared" si="41"/>
        <v>19.571191887757003</v>
      </c>
      <c r="BC232" s="30">
        <f t="shared" si="40"/>
        <v>19.571191887756999</v>
      </c>
      <c r="BD232" s="30">
        <f t="shared" si="40"/>
        <v>20.353773390484825</v>
      </c>
      <c r="BE232" s="30">
        <f t="shared" si="40"/>
        <v>20.354039563267282</v>
      </c>
      <c r="BF232" s="30">
        <f t="shared" si="40"/>
        <v>20.354039563267293</v>
      </c>
      <c r="BG232" s="30">
        <f t="shared" si="40"/>
        <v>20.354039563267289</v>
      </c>
      <c r="BH232" s="30">
        <f t="shared" si="40"/>
        <v>20.354039563267289</v>
      </c>
      <c r="BI232" s="30">
        <f t="shared" si="33"/>
        <v>20.354039563267289</v>
      </c>
      <c r="BJ232" s="30">
        <f t="shared" si="33"/>
        <v>20.354039563267282</v>
      </c>
      <c r="BK232" s="30">
        <f t="shared" si="33"/>
        <v>20.354039563267293</v>
      </c>
      <c r="BL232" s="31">
        <f t="shared" si="33"/>
        <v>20.050946747223069</v>
      </c>
    </row>
    <row r="233" spans="2:64" ht="15" x14ac:dyDescent="0.4">
      <c r="B233" t="s">
        <v>368</v>
      </c>
      <c r="C233" s="26">
        <v>53903</v>
      </c>
      <c r="D233" t="s">
        <v>369</v>
      </c>
      <c r="E233" t="s">
        <v>369</v>
      </c>
      <c r="F233" t="s">
        <v>60</v>
      </c>
      <c r="G233" t="s">
        <v>33</v>
      </c>
      <c r="H233" t="s">
        <v>34</v>
      </c>
      <c r="J233" s="27">
        <v>2492.3629452483833</v>
      </c>
      <c r="K233" s="27">
        <v>3582.2781953143044</v>
      </c>
      <c r="L233" s="27">
        <v>4174.3420859300613</v>
      </c>
      <c r="M233" s="27">
        <v>4100.6986709643079</v>
      </c>
      <c r="N233" s="28">
        <f t="shared" si="36"/>
        <v>14349.681897457058</v>
      </c>
      <c r="O233" s="27">
        <v>3473.7038800190612</v>
      </c>
      <c r="P233" s="27">
        <v>4537.2457760990319</v>
      </c>
      <c r="Q233" s="27">
        <v>7720.9349801760127</v>
      </c>
      <c r="R233" s="27">
        <v>5414.0078161460597</v>
      </c>
      <c r="S233" s="27">
        <v>3893.5796438185344</v>
      </c>
      <c r="T233" s="27">
        <v>3053.1453914004023</v>
      </c>
      <c r="U233" s="27">
        <v>2616.8842319404598</v>
      </c>
      <c r="V233" s="27">
        <v>3649.8468833690836</v>
      </c>
      <c r="W233" s="27">
        <v>2333.6968041902423</v>
      </c>
      <c r="X233" s="27">
        <v>3354.2270366614866</v>
      </c>
      <c r="Y233" s="27">
        <v>3908.59958984063</v>
      </c>
      <c r="Z233" s="27">
        <v>3839.64438310283</v>
      </c>
      <c r="AA233" s="28">
        <f t="shared" si="37"/>
        <v>47795.516416763836</v>
      </c>
      <c r="AB233" s="29"/>
      <c r="AC233" s="27">
        <v>94728.454872680406</v>
      </c>
      <c r="AD233" s="27">
        <v>136153.39572158497</v>
      </c>
      <c r="AE233" s="27">
        <v>158656.25697253691</v>
      </c>
      <c r="AF233" s="27">
        <v>155857.25575782493</v>
      </c>
      <c r="AG233" s="28">
        <f t="shared" si="38"/>
        <v>545395.36332462728</v>
      </c>
      <c r="AH233" s="27">
        <v>134678.75300176168</v>
      </c>
      <c r="AI233" s="27">
        <v>175913.2684574642</v>
      </c>
      <c r="AJ233" s="27">
        <v>299347.88083665929</v>
      </c>
      <c r="AK233" s="27">
        <v>209906.15395125202</v>
      </c>
      <c r="AL233" s="27">
        <v>156853.94596379617</v>
      </c>
      <c r="AM233" s="27">
        <v>123108.23875016387</v>
      </c>
      <c r="AN233" s="27">
        <v>105517.41483215071</v>
      </c>
      <c r="AO233" s="27">
        <v>147168.3015112647</v>
      </c>
      <c r="AP233" s="27">
        <v>94098.795343961916</v>
      </c>
      <c r="AQ233" s="27">
        <v>135248.3848344264</v>
      </c>
      <c r="AR233" s="27">
        <v>157601.66968798934</v>
      </c>
      <c r="AS233" s="27">
        <v>154821.27341925789</v>
      </c>
      <c r="AT233" s="28">
        <f t="shared" si="39"/>
        <v>1894264.0805901485</v>
      </c>
      <c r="AU233" s="30">
        <f t="shared" si="42"/>
        <v>38.007488055974122</v>
      </c>
      <c r="AV233" s="30">
        <f t="shared" si="42"/>
        <v>38.007488055974122</v>
      </c>
      <c r="AW233" s="30">
        <f t="shared" si="42"/>
        <v>38.007488055974122</v>
      </c>
      <c r="AX233" s="30">
        <f t="shared" si="41"/>
        <v>38.007488055974129</v>
      </c>
      <c r="AY233" s="31">
        <f t="shared" si="41"/>
        <v>38.007488055974129</v>
      </c>
      <c r="AZ233" s="30">
        <f t="shared" si="41"/>
        <v>38.770936629469595</v>
      </c>
      <c r="BA233" s="30">
        <f t="shared" si="41"/>
        <v>38.770936629469603</v>
      </c>
      <c r="BB233" s="30">
        <f t="shared" si="41"/>
        <v>38.770936629469595</v>
      </c>
      <c r="BC233" s="30">
        <f t="shared" si="40"/>
        <v>38.77093662946961</v>
      </c>
      <c r="BD233" s="30">
        <f t="shared" si="40"/>
        <v>40.285279951270098</v>
      </c>
      <c r="BE233" s="30">
        <f t="shared" si="40"/>
        <v>40.321774094648397</v>
      </c>
      <c r="BF233" s="30">
        <f t="shared" si="40"/>
        <v>40.321774094648397</v>
      </c>
      <c r="BG233" s="30">
        <f t="shared" si="40"/>
        <v>40.321774094648397</v>
      </c>
      <c r="BH233" s="30">
        <f t="shared" si="40"/>
        <v>40.321774094648418</v>
      </c>
      <c r="BI233" s="30">
        <f t="shared" si="40"/>
        <v>40.321774094648397</v>
      </c>
      <c r="BJ233" s="30">
        <f t="shared" si="40"/>
        <v>40.321774094648418</v>
      </c>
      <c r="BK233" s="30">
        <f t="shared" si="40"/>
        <v>40.32177409464839</v>
      </c>
      <c r="BL233" s="31">
        <f t="shared" si="40"/>
        <v>39.632673158559136</v>
      </c>
    </row>
    <row r="234" spans="2:64" ht="15" x14ac:dyDescent="0.4">
      <c r="B234" t="s">
        <v>370</v>
      </c>
      <c r="C234" s="26" t="s">
        <v>371</v>
      </c>
      <c r="D234" t="s">
        <v>372</v>
      </c>
      <c r="E234" t="s">
        <v>372</v>
      </c>
      <c r="F234" t="s">
        <v>373</v>
      </c>
      <c r="G234" t="s">
        <v>27</v>
      </c>
      <c r="H234" t="s">
        <v>126</v>
      </c>
      <c r="J234" s="27">
        <v>0</v>
      </c>
      <c r="K234" s="27">
        <v>0</v>
      </c>
      <c r="L234" s="27">
        <v>0</v>
      </c>
      <c r="M234" s="27">
        <v>0</v>
      </c>
      <c r="N234" s="28">
        <f t="shared" si="36"/>
        <v>0</v>
      </c>
      <c r="O234" s="27">
        <v>0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  <c r="V234" s="27">
        <v>0</v>
      </c>
      <c r="W234" s="27">
        <v>0</v>
      </c>
      <c r="X234" s="27">
        <v>11344.998456949153</v>
      </c>
      <c r="Y234" s="27">
        <v>8289.0368416734291</v>
      </c>
      <c r="Z234" s="27">
        <v>3880.4994005745789</v>
      </c>
      <c r="AA234" s="28">
        <f t="shared" si="37"/>
        <v>23514.534699197164</v>
      </c>
      <c r="AB234" s="29"/>
      <c r="AC234" s="27">
        <v>0</v>
      </c>
      <c r="AD234" s="27">
        <v>0</v>
      </c>
      <c r="AE234" s="27">
        <v>0</v>
      </c>
      <c r="AF234" s="27">
        <v>0</v>
      </c>
      <c r="AG234" s="28">
        <f t="shared" si="38"/>
        <v>0</v>
      </c>
      <c r="AH234" s="27">
        <v>0</v>
      </c>
      <c r="AI234" s="27">
        <v>0</v>
      </c>
      <c r="AJ234" s="27">
        <v>0</v>
      </c>
      <c r="AK234" s="27">
        <v>0</v>
      </c>
      <c r="AL234" s="27">
        <v>0</v>
      </c>
      <c r="AM234" s="27">
        <v>0</v>
      </c>
      <c r="AN234" s="27">
        <v>0</v>
      </c>
      <c r="AO234" s="27">
        <v>0</v>
      </c>
      <c r="AP234" s="27">
        <v>0</v>
      </c>
      <c r="AQ234" s="27">
        <v>86078.771227909165</v>
      </c>
      <c r="AR234" s="27">
        <v>66077.60083288372</v>
      </c>
      <c r="AS234" s="27">
        <v>31955.180576021874</v>
      </c>
      <c r="AT234" s="28">
        <f t="shared" si="39"/>
        <v>184111.55263681474</v>
      </c>
      <c r="AU234" s="30">
        <f t="shared" si="42"/>
        <v>0</v>
      </c>
      <c r="AV234" s="30">
        <f t="shared" si="42"/>
        <v>0</v>
      </c>
      <c r="AW234" s="30">
        <f t="shared" si="42"/>
        <v>0</v>
      </c>
      <c r="AX234" s="30">
        <f t="shared" si="41"/>
        <v>0</v>
      </c>
      <c r="AY234" s="31">
        <f t="shared" si="41"/>
        <v>0</v>
      </c>
      <c r="AZ234" s="30">
        <f t="shared" si="41"/>
        <v>0</v>
      </c>
      <c r="BA234" s="30">
        <f t="shared" si="41"/>
        <v>0</v>
      </c>
      <c r="BB234" s="30">
        <f t="shared" si="41"/>
        <v>0</v>
      </c>
      <c r="BC234" s="30">
        <f t="shared" si="40"/>
        <v>0</v>
      </c>
      <c r="BD234" s="30">
        <f t="shared" si="40"/>
        <v>0</v>
      </c>
      <c r="BE234" s="30">
        <f t="shared" si="40"/>
        <v>0</v>
      </c>
      <c r="BF234" s="30">
        <f t="shared" si="40"/>
        <v>0</v>
      </c>
      <c r="BG234" s="30">
        <f t="shared" si="40"/>
        <v>0</v>
      </c>
      <c r="BH234" s="30">
        <f t="shared" si="40"/>
        <v>0</v>
      </c>
      <c r="BI234" s="30">
        <f t="shared" si="40"/>
        <v>7.5873761952945289</v>
      </c>
      <c r="BJ234" s="30">
        <f t="shared" si="40"/>
        <v>7.9716862278469094</v>
      </c>
      <c r="BK234" s="30">
        <f t="shared" si="40"/>
        <v>8.2348113676529167</v>
      </c>
      <c r="BL234" s="31">
        <f t="shared" si="40"/>
        <v>7.829691507487099</v>
      </c>
    </row>
    <row r="235" spans="2:64" ht="15" x14ac:dyDescent="0.4">
      <c r="B235" t="s">
        <v>374</v>
      </c>
      <c r="C235" s="26" t="s">
        <v>375</v>
      </c>
      <c r="D235" t="s">
        <v>372</v>
      </c>
      <c r="E235" t="s">
        <v>372</v>
      </c>
      <c r="F235" t="s">
        <v>373</v>
      </c>
      <c r="G235" t="s">
        <v>27</v>
      </c>
      <c r="H235" t="s">
        <v>126</v>
      </c>
      <c r="J235" s="27">
        <v>0</v>
      </c>
      <c r="K235" s="27">
        <v>0</v>
      </c>
      <c r="L235" s="27">
        <v>0</v>
      </c>
      <c r="M235" s="27">
        <v>0</v>
      </c>
      <c r="N235" s="28">
        <f t="shared" si="36"/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  <c r="V235" s="27">
        <v>0</v>
      </c>
      <c r="W235" s="27">
        <v>0</v>
      </c>
      <c r="X235" s="27">
        <v>9446.9108185752266</v>
      </c>
      <c r="Y235" s="27">
        <v>6902.2302746289706</v>
      </c>
      <c r="Z235" s="27">
        <v>3231.2681141272542</v>
      </c>
      <c r="AA235" s="28">
        <f t="shared" si="37"/>
        <v>19580.409207331453</v>
      </c>
      <c r="AB235" s="29"/>
      <c r="AC235" s="27">
        <v>0</v>
      </c>
      <c r="AD235" s="27">
        <v>0</v>
      </c>
      <c r="AE235" s="27">
        <v>0</v>
      </c>
      <c r="AF235" s="27">
        <v>0</v>
      </c>
      <c r="AG235" s="28">
        <f t="shared" si="38"/>
        <v>0</v>
      </c>
      <c r="AH235" s="27">
        <v>0</v>
      </c>
      <c r="AI235" s="27">
        <v>0</v>
      </c>
      <c r="AJ235" s="27">
        <v>0</v>
      </c>
      <c r="AK235" s="27">
        <v>0</v>
      </c>
      <c r="AL235" s="27">
        <v>0</v>
      </c>
      <c r="AM235" s="27">
        <v>0</v>
      </c>
      <c r="AN235" s="27">
        <v>0</v>
      </c>
      <c r="AO235" s="27">
        <v>0</v>
      </c>
      <c r="AP235" s="27">
        <v>0</v>
      </c>
      <c r="AQ235" s="27">
        <v>96729.514666854331</v>
      </c>
      <c r="AR235" s="27">
        <v>74208.719208351802</v>
      </c>
      <c r="AS235" s="27">
        <v>35886.660748209717</v>
      </c>
      <c r="AT235" s="28">
        <f t="shared" si="39"/>
        <v>206824.89462341586</v>
      </c>
      <c r="AU235" s="30">
        <f t="shared" si="42"/>
        <v>0</v>
      </c>
      <c r="AV235" s="30">
        <f t="shared" si="42"/>
        <v>0</v>
      </c>
      <c r="AW235" s="30">
        <f t="shared" si="42"/>
        <v>0</v>
      </c>
      <c r="AX235" s="30">
        <f t="shared" si="41"/>
        <v>0</v>
      </c>
      <c r="AY235" s="31">
        <f t="shared" si="41"/>
        <v>0</v>
      </c>
      <c r="AZ235" s="30">
        <f t="shared" si="41"/>
        <v>0</v>
      </c>
      <c r="BA235" s="30">
        <f t="shared" si="41"/>
        <v>0</v>
      </c>
      <c r="BB235" s="30">
        <f t="shared" si="41"/>
        <v>0</v>
      </c>
      <c r="BC235" s="30">
        <f t="shared" si="40"/>
        <v>0</v>
      </c>
      <c r="BD235" s="30">
        <f t="shared" si="40"/>
        <v>0</v>
      </c>
      <c r="BE235" s="30">
        <f t="shared" si="40"/>
        <v>0</v>
      </c>
      <c r="BF235" s="30">
        <f t="shared" si="40"/>
        <v>0</v>
      </c>
      <c r="BG235" s="30">
        <f t="shared" si="40"/>
        <v>0</v>
      </c>
      <c r="BH235" s="30">
        <f t="shared" si="40"/>
        <v>0</v>
      </c>
      <c r="BI235" s="30">
        <f t="shared" si="40"/>
        <v>10.239274671319802</v>
      </c>
      <c r="BJ235" s="30">
        <f t="shared" si="40"/>
        <v>10.751411682268293</v>
      </c>
      <c r="BK235" s="30">
        <f t="shared" si="40"/>
        <v>11.106060989278967</v>
      </c>
      <c r="BL235" s="31">
        <f t="shared" si="40"/>
        <v>10.562848428416645</v>
      </c>
    </row>
    <row r="236" spans="2:64" ht="15" x14ac:dyDescent="0.4">
      <c r="B236" t="s">
        <v>376</v>
      </c>
      <c r="C236" s="26">
        <v>54003</v>
      </c>
      <c r="D236" t="s">
        <v>377</v>
      </c>
      <c r="E236" t="s">
        <v>377</v>
      </c>
      <c r="F236" t="s">
        <v>373</v>
      </c>
      <c r="G236" t="s">
        <v>33</v>
      </c>
      <c r="H236" t="s">
        <v>76</v>
      </c>
      <c r="J236" s="27">
        <v>25247.915174886155</v>
      </c>
      <c r="K236" s="27">
        <v>22825.29727831982</v>
      </c>
      <c r="L236" s="27">
        <v>31536.245520459994</v>
      </c>
      <c r="M236" s="27">
        <v>16876.826715246829</v>
      </c>
      <c r="N236" s="28">
        <f t="shared" si="36"/>
        <v>96486.284688912798</v>
      </c>
      <c r="O236" s="27">
        <v>15074.848382058452</v>
      </c>
      <c r="P236" s="27">
        <v>22405.366169259163</v>
      </c>
      <c r="Q236" s="27">
        <v>49530.502984844381</v>
      </c>
      <c r="R236" s="27">
        <v>33480.457745936154</v>
      </c>
      <c r="S236" s="27">
        <v>24756.469702544902</v>
      </c>
      <c r="T236" s="27">
        <v>21737.206706637655</v>
      </c>
      <c r="U236" s="27">
        <v>19036.504300141616</v>
      </c>
      <c r="V236" s="27">
        <v>17126.813485555773</v>
      </c>
      <c r="W236" s="27">
        <v>15229.389298100114</v>
      </c>
      <c r="X236" s="27">
        <v>13768.080876719947</v>
      </c>
      <c r="Y236" s="27">
        <v>19022.472022136644</v>
      </c>
      <c r="Z236" s="27">
        <v>10179.999512146996</v>
      </c>
      <c r="AA236" s="28">
        <f t="shared" si="37"/>
        <v>261348.11118608181</v>
      </c>
      <c r="AB236" s="29"/>
      <c r="AC236" s="27">
        <v>216173.68216548298</v>
      </c>
      <c r="AD236" s="27">
        <v>195431.12866935643</v>
      </c>
      <c r="AE236" s="27">
        <v>270014.62372678018</v>
      </c>
      <c r="AF236" s="27">
        <v>144500.08046338207</v>
      </c>
      <c r="AG236" s="28">
        <f t="shared" si="38"/>
        <v>826119.5150250016</v>
      </c>
      <c r="AH236" s="27">
        <v>130459.26046642648</v>
      </c>
      <c r="AI236" s="27">
        <v>193898.30178324581</v>
      </c>
      <c r="AJ236" s="27">
        <v>428641.97543926456</v>
      </c>
      <c r="AK236" s="27">
        <v>289743.26287823339</v>
      </c>
      <c r="AL236" s="27">
        <v>220534.31481596906</v>
      </c>
      <c r="AM236" s="27">
        <v>195640.6216016103</v>
      </c>
      <c r="AN236" s="27">
        <v>171333.58414741416</v>
      </c>
      <c r="AO236" s="27">
        <v>154145.8606705805</v>
      </c>
      <c r="AP236" s="27">
        <v>137068.54008907251</v>
      </c>
      <c r="AQ236" s="27">
        <v>123916.37699061962</v>
      </c>
      <c r="AR236" s="27">
        <v>171207.28992624593</v>
      </c>
      <c r="AS236" s="27">
        <v>91622.693722297452</v>
      </c>
      <c r="AT236" s="28">
        <f t="shared" si="39"/>
        <v>2308212.0825309795</v>
      </c>
      <c r="AU236" s="30">
        <f t="shared" si="42"/>
        <v>8.5620408920142737</v>
      </c>
      <c r="AV236" s="30">
        <f t="shared" si="42"/>
        <v>8.5620408920142754</v>
      </c>
      <c r="AW236" s="30">
        <f t="shared" si="42"/>
        <v>8.5620408920142665</v>
      </c>
      <c r="AX236" s="30">
        <f t="shared" si="41"/>
        <v>8.5620408920142612</v>
      </c>
      <c r="AY236" s="31">
        <f t="shared" si="41"/>
        <v>8.5620408920142683</v>
      </c>
      <c r="AZ236" s="30">
        <f t="shared" si="41"/>
        <v>8.6541010005576204</v>
      </c>
      <c r="BA236" s="30">
        <f t="shared" si="41"/>
        <v>8.6541010005576311</v>
      </c>
      <c r="BB236" s="30">
        <f t="shared" si="41"/>
        <v>8.6541010005576329</v>
      </c>
      <c r="BC236" s="30">
        <f t="shared" si="40"/>
        <v>8.6541010005576258</v>
      </c>
      <c r="BD236" s="30">
        <f t="shared" si="40"/>
        <v>8.9081487573043869</v>
      </c>
      <c r="BE236" s="30">
        <f t="shared" si="40"/>
        <v>9.0002650405799223</v>
      </c>
      <c r="BF236" s="30">
        <f t="shared" si="40"/>
        <v>9.0002650405799329</v>
      </c>
      <c r="BG236" s="30">
        <f t="shared" si="40"/>
        <v>9.0002650405799294</v>
      </c>
      <c r="BH236" s="30">
        <f t="shared" si="40"/>
        <v>9.0002650405799258</v>
      </c>
      <c r="BI236" s="30">
        <f t="shared" si="40"/>
        <v>9.0002650405799312</v>
      </c>
      <c r="BJ236" s="30">
        <f t="shared" si="40"/>
        <v>9.0002650405799134</v>
      </c>
      <c r="BK236" s="30">
        <f t="shared" si="40"/>
        <v>9.00026504057994</v>
      </c>
      <c r="BL236" s="31">
        <f t="shared" si="40"/>
        <v>8.8319447653766101</v>
      </c>
    </row>
    <row r="237" spans="2:64" x14ac:dyDescent="0.35">
      <c r="AG237" s="1"/>
    </row>
  </sheetData>
  <autoFilter ref="B4:H236" xr:uid="{6A87BB80-22A8-4326-BEA5-795A4A011B2E}"/>
  <conditionalFormatting sqref="C5:C23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 Eduarda Romeu Alves</dc:creator>
  <cp:lastModifiedBy>Mel Eduarda Romeu Alves</cp:lastModifiedBy>
  <dcterms:created xsi:type="dcterms:W3CDTF">2025-09-19T11:35:33Z</dcterms:created>
  <dcterms:modified xsi:type="dcterms:W3CDTF">2025-09-22T12:54:30Z</dcterms:modified>
</cp:coreProperties>
</file>